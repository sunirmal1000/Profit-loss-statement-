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d.docs.live.net/e99f99406b2d24a7/Desktop/"/>
    </mc:Choice>
  </mc:AlternateContent>
  <xr:revisionPtr revIDLastSave="1" documentId="8_{BA9F4CC5-F816-4605-84B1-7F216C413D49}" xr6:coauthVersionLast="47" xr6:coauthVersionMax="47" xr10:uidLastSave="{9F8BDE94-BEE3-4B9D-B890-A83011A4944E}"/>
  <bookViews>
    <workbookView xWindow="28680" yWindow="-120" windowWidth="29040" windowHeight="15720" xr2:uid="{FCA0239E-78A2-4779-8F7E-041C1F1DAB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4" i="1" l="1"/>
  <c r="S164" i="1"/>
  <c r="G164" i="1"/>
  <c r="E164" i="1"/>
  <c r="T157" i="1"/>
  <c r="S157" i="1"/>
  <c r="R157" i="1"/>
  <c r="G157" i="1"/>
  <c r="E157" i="1"/>
  <c r="T150" i="1"/>
  <c r="S150" i="1"/>
  <c r="R150" i="1"/>
  <c r="I150" i="1"/>
  <c r="H150" i="1"/>
  <c r="G150" i="1"/>
  <c r="E150" i="1"/>
  <c r="T134" i="1"/>
  <c r="S134" i="1"/>
  <c r="R134" i="1"/>
  <c r="G134" i="1"/>
  <c r="E134" i="1"/>
  <c r="T129" i="1"/>
  <c r="S129" i="1"/>
  <c r="E129" i="1"/>
  <c r="T126" i="1"/>
  <c r="S126" i="1"/>
  <c r="R126" i="1"/>
  <c r="G126" i="1"/>
  <c r="E126" i="1"/>
  <c r="T122" i="1"/>
  <c r="S122" i="1"/>
  <c r="R122" i="1"/>
  <c r="G122" i="1"/>
  <c r="E122" i="1"/>
  <c r="T114" i="1"/>
  <c r="S114" i="1"/>
  <c r="R114" i="1"/>
  <c r="G114" i="1"/>
  <c r="E114" i="1"/>
  <c r="T108" i="1"/>
  <c r="S108" i="1"/>
  <c r="R108" i="1"/>
  <c r="G108" i="1"/>
  <c r="E108" i="1"/>
  <c r="T102" i="1"/>
  <c r="E102" i="1"/>
  <c r="T99" i="1"/>
  <c r="E99" i="1"/>
  <c r="T96" i="1"/>
  <c r="S96" i="1"/>
  <c r="R96" i="1"/>
  <c r="G96" i="1"/>
  <c r="E96" i="1"/>
  <c r="T88" i="1"/>
  <c r="S88" i="1"/>
  <c r="G88" i="1"/>
  <c r="E88" i="1"/>
  <c r="T84" i="1"/>
  <c r="R84" i="1"/>
  <c r="E84" i="1"/>
  <c r="T81" i="1"/>
  <c r="S81" i="1"/>
  <c r="R81" i="1"/>
  <c r="I81" i="1"/>
  <c r="H81" i="1"/>
  <c r="G81" i="1"/>
  <c r="E81" i="1"/>
  <c r="D81" i="1"/>
  <c r="T65" i="1"/>
  <c r="S65" i="1"/>
  <c r="E65" i="1"/>
  <c r="T62" i="1"/>
  <c r="S62" i="1"/>
  <c r="G62" i="1"/>
  <c r="E62" i="1"/>
  <c r="T54" i="1"/>
  <c r="S54" i="1"/>
  <c r="R54" i="1"/>
  <c r="G54" i="1"/>
  <c r="T47" i="1"/>
  <c r="S47" i="1"/>
  <c r="R47" i="1"/>
  <c r="T43" i="1"/>
  <c r="S43" i="1"/>
  <c r="G43" i="1"/>
  <c r="E43" i="1"/>
  <c r="T33" i="1"/>
  <c r="E33" i="1"/>
  <c r="T29" i="1"/>
  <c r="S29" i="1"/>
  <c r="R29" i="1"/>
  <c r="G29" i="1"/>
  <c r="E29" i="1"/>
  <c r="D29" i="1"/>
  <c r="T22" i="1"/>
  <c r="S22" i="1"/>
  <c r="R22" i="1"/>
  <c r="G22" i="1"/>
  <c r="E22" i="1"/>
  <c r="D22" i="1"/>
  <c r="T16" i="1"/>
  <c r="S16" i="1"/>
  <c r="G16" i="1"/>
  <c r="E16" i="1"/>
  <c r="D16" i="1"/>
  <c r="S10" i="1"/>
  <c r="T6" i="1"/>
  <c r="S6" i="1"/>
  <c r="R6" i="1"/>
  <c r="M6" i="1"/>
  <c r="L6" i="1"/>
  <c r="K6" i="1"/>
  <c r="J6" i="1"/>
  <c r="I6" i="1"/>
  <c r="H6" i="1"/>
  <c r="G6" i="1"/>
  <c r="E6" i="1"/>
</calcChain>
</file>

<file path=xl/sharedStrings.xml><?xml version="1.0" encoding="utf-8"?>
<sst xmlns="http://schemas.openxmlformats.org/spreadsheetml/2006/main" count="647" uniqueCount="46">
  <si>
    <t>INSTRUMENT/TOTAL</t>
  </si>
  <si>
    <t>DAY</t>
  </si>
  <si>
    <t>Date</t>
  </si>
  <si>
    <t>TRADE NO</t>
  </si>
  <si>
    <t>PROFIT/LOSS(INR)</t>
  </si>
  <si>
    <t>RULES FOLLOWED</t>
  </si>
  <si>
    <t>QUANTITY</t>
  </si>
  <si>
    <t>WINNING TRADE</t>
  </si>
  <si>
    <t>LOSING TRADE</t>
  </si>
  <si>
    <t>WINNING LONG POSITION</t>
  </si>
  <si>
    <t>LOSING LONG POSITION</t>
  </si>
  <si>
    <t>WINNING SHORT POSITION</t>
  </si>
  <si>
    <t>LOSING SHORT POSITION</t>
  </si>
  <si>
    <t>Entry price(INR)</t>
  </si>
  <si>
    <t>Exit price(INR)</t>
  </si>
  <si>
    <t>Entry time(IST)</t>
  </si>
  <si>
    <t>Exit time(IST)</t>
  </si>
  <si>
    <t xml:space="preserve"> REWARD</t>
  </si>
  <si>
    <t xml:space="preserve"> RISK</t>
  </si>
  <si>
    <t xml:space="preserve"> POSITION SIZE</t>
  </si>
  <si>
    <t>NIFTY</t>
  </si>
  <si>
    <t>Monday</t>
  </si>
  <si>
    <t>NO</t>
  </si>
  <si>
    <t>RULES</t>
  </si>
  <si>
    <t>TO BE FOLLOWED</t>
  </si>
  <si>
    <t>YES</t>
  </si>
  <si>
    <t>MAX TRADE PER DAY</t>
  </si>
  <si>
    <t>INSTRUMENT</t>
  </si>
  <si>
    <t>LOT SIZE</t>
  </si>
  <si>
    <t>Column3</t>
  </si>
  <si>
    <t>TOTAL CAPITAL</t>
  </si>
  <si>
    <t xml:space="preserve">EXPECTED TRADE RANGE </t>
  </si>
  <si>
    <t>3 TO 5</t>
  </si>
  <si>
    <t>1000000 INR</t>
  </si>
  <si>
    <t>MAX DAILY LOSS LIMIT</t>
  </si>
  <si>
    <t>TOTAL</t>
  </si>
  <si>
    <t>NA</t>
  </si>
  <si>
    <t>BANKNIFTY</t>
  </si>
  <si>
    <t xml:space="preserve">RISK PER TRADE </t>
  </si>
  <si>
    <t>10 POINTS PER LOT</t>
  </si>
  <si>
    <t>Tuesday </t>
  </si>
  <si>
    <t xml:space="preserve">MAX LOT SIZE </t>
  </si>
  <si>
    <t>5 LOTS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</si>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</sst>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[$-14009]dddd\,\ d\ mmmm\,\ yyyy;@"/>
    <numFmt numFmtId="165" formatCode="[$-14009]dd\-mm\-yyyy;@"/>
    <numFmt numFmtId="166" formatCode="&quot;₹&quot;\ #,##0.00"/>
    <numFmt numFmtId="167" formatCode="[$-10409]hh:mm:ss\ AM/PM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4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0" fillId="0" borderId="0" xfId="1" applyNumberFormat="1" applyFont="1" applyAlignment="1">
      <alignment horizontal="center" vertical="top"/>
    </xf>
    <xf numFmtId="0" fontId="6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67" fontId="0" fillId="6" borderId="0" xfId="0" applyNumberForma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167" fontId="0" fillId="0" borderId="0" xfId="0" applyNumberForma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center" vertical="center"/>
    </xf>
    <xf numFmtId="166" fontId="10" fillId="7" borderId="4" xfId="0" applyNumberFormat="1" applyFont="1" applyFill="1" applyBorder="1" applyAlignment="1">
      <alignment horizontal="center" vertical="center"/>
    </xf>
    <xf numFmtId="166" fontId="11" fillId="9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166" fontId="9" fillId="4" borderId="6" xfId="0" applyNumberFormat="1" applyFont="1" applyFill="1" applyBorder="1" applyAlignment="1">
      <alignment horizontal="center" vertical="center"/>
    </xf>
    <xf numFmtId="166" fontId="9" fillId="4" borderId="7" xfId="0" applyNumberFormat="1" applyFont="1" applyFill="1" applyBorder="1" applyAlignment="1">
      <alignment horizontal="center" vertical="center"/>
    </xf>
    <xf numFmtId="166" fontId="9" fillId="4" borderId="8" xfId="0" applyNumberFormat="1" applyFont="1" applyFill="1" applyBorder="1" applyAlignment="1">
      <alignment horizontal="center" vertical="center"/>
    </xf>
    <xf numFmtId="166" fontId="9" fillId="4" borderId="9" xfId="0" applyNumberFormat="1" applyFont="1" applyFill="1" applyBorder="1" applyAlignment="1">
      <alignment horizontal="center" vertical="center"/>
    </xf>
    <xf numFmtId="166" fontId="9" fillId="4" borderId="10" xfId="0" applyNumberFormat="1" applyFont="1" applyFill="1" applyBorder="1" applyAlignment="1">
      <alignment horizontal="center" vertical="center"/>
    </xf>
    <xf numFmtId="167" fontId="9" fillId="0" borderId="4" xfId="0" applyNumberFormat="1" applyFont="1" applyFill="1" applyBorder="1" applyAlignment="1">
      <alignment horizontal="center" vertical="center"/>
    </xf>
    <xf numFmtId="167" fontId="9" fillId="8" borderId="4" xfId="0" applyNumberFormat="1" applyFont="1" applyFill="1" applyBorder="1" applyAlignment="1">
      <alignment horizontal="center" vertical="center"/>
    </xf>
    <xf numFmtId="166" fontId="9" fillId="0" borderId="4" xfId="0" applyNumberFormat="1" applyFont="1" applyFill="1" applyBorder="1" applyAlignment="1">
      <alignment horizontal="center" vertical="center"/>
    </xf>
    <xf numFmtId="166" fontId="10" fillId="10" borderId="4" xfId="0" applyNumberFormat="1" applyFont="1" applyFill="1" applyBorder="1" applyAlignment="1">
      <alignment horizontal="center" vertical="center"/>
    </xf>
    <xf numFmtId="166" fontId="9" fillId="8" borderId="4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165" fontId="8" fillId="2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166" fontId="10" fillId="7" borderId="11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0">
    <dxf>
      <numFmt numFmtId="166" formatCode="&quot;₹&quot;\ #,##0.00"/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</dxf>
    <dxf>
      <numFmt numFmtId="167" formatCode="[$-10409]hh:mm:ss\ AM/PM;@"/>
      <alignment horizontal="center" vertical="center" textRotation="0" wrapText="0" indent="0" justifyLastLine="0" shrinkToFit="0" readingOrder="0"/>
    </dxf>
    <dxf>
      <numFmt numFmtId="167" formatCode="[$-10409]hh:mm:ss\ AM/PM;@"/>
      <alignment horizontal="center" vertical="center" textRotation="0" wrapText="0" indent="0" justifyLastLine="0" shrinkToFit="0" readingOrder="0"/>
    </dxf>
    <dxf>
      <numFmt numFmtId="166" formatCode="&quot;₹&quot;\ 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6" formatCode="&quot;₹&quot;\ 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₹&quot;\ #,##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numFmt numFmtId="165" formatCode="[$-14009]dd\-mm\-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164" formatCode="[$-14009]dddd\,\ d\ mmmm\,\ 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&quot;₹&quot;\ #,##0.00"/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F25EE-C92A-407A-95C1-11F6E6B25454}" name="Table3" displayName="Table3" ref="V4:Y6" totalsRowShown="0" headerRowDxfId="29" dataDxfId="28">
  <autoFilter ref="V4:Y6" xr:uid="{953F25EE-C92A-407A-95C1-11F6E6B25454}"/>
  <tableColumns count="4">
    <tableColumn id="1" xr3:uid="{8E522B76-27E1-4B72-964C-9B5DDE4D969B}" name="INSTRUMENT" dataDxfId="27"/>
    <tableColumn id="2" xr3:uid="{452911C0-5888-46ED-A2AC-57FA7303B99C}" name="LOT SIZE" dataDxfId="26"/>
    <tableColumn id="3" xr3:uid="{847A7A6B-099E-47B5-9F23-78273D84C912}" name="Column3" dataDxfId="25"/>
    <tableColumn id="4" xr3:uid="{34A500E4-76AD-4D4F-8824-9B7F12517DB8}" name="TOTAL CAPITAL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6A096-956D-4D29-BD92-F1E6576E8448}" name="Table1" displayName="Table1" ref="AA2:AB7" totalsRowShown="0">
  <autoFilter ref="AA2:AB7" xr:uid="{5C96A096-956D-4D29-BD92-F1E6576E8448}"/>
  <tableColumns count="2">
    <tableColumn id="1" xr3:uid="{A3AFB320-F842-41A9-BE68-E9FD2A142CCB}" name="RULES" dataDxfId="23"/>
    <tableColumn id="2" xr3:uid="{F7C71E3B-2055-450B-BA17-5F9520ABDA9A}" name="TO BE FOLLOWED" dataDxfId="2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A67FE1-533E-476B-BE7B-F7324C575FEF}" name="Table4" displayName="Table4" ref="A1:T167" totalsRowShown="0" headerRowDxfId="21" dataDxfId="20">
  <autoFilter ref="A1:T167" xr:uid="{9CA67FE1-533E-476B-BE7B-F7324C575FEF}"/>
  <tableColumns count="20">
    <tableColumn id="1" xr3:uid="{8BCCBC08-0CA8-46D6-8709-A89B418D2280}" name="INSTRUMENT/TOTAL" dataDxfId="19"/>
    <tableColumn id="2" xr3:uid="{F91DCE2B-CAB5-4D0A-9B30-38C71E6FFDAD}" name="DAY" dataDxfId="18"/>
    <tableColumn id="3" xr3:uid="{6CF587D3-93C2-4F8D-9C16-1D36CBE53750}" name="Date" dataDxfId="17"/>
    <tableColumn id="4" xr3:uid="{FDA38181-A8B7-47A2-BCFE-E4716F749EA7}" name="TRADE NO" dataDxfId="16"/>
    <tableColumn id="5" xr3:uid="{876C6F4F-12B3-4750-8FA2-32E778F7D24B}" name="PROFIT/LOSS(INR)" dataDxfId="15"/>
    <tableColumn id="6" xr3:uid="{4B9EC506-550D-49C5-B715-D5F1703DCADC}" name="RULES FOLLOWED" dataDxfId="14"/>
    <tableColumn id="7" xr3:uid="{A69BF83F-31CE-4D10-B8F6-C2400AF9C5B8}" name="QUANTITY" dataDxfId="13"/>
    <tableColumn id="8" xr3:uid="{AF78AC44-D269-47EF-AC73-871CAEB90F9F}" name="WINNING TRADE" dataDxfId="12"/>
    <tableColumn id="9" xr3:uid="{3BF96471-C444-4237-AC6F-E62A09A01CBA}" name="LOSING TRADE" dataDxfId="11"/>
    <tableColumn id="10" xr3:uid="{7B92DAE2-9C48-465E-9BA6-AC563832EC27}" name="WINNING LONG POSITION" dataDxfId="10"/>
    <tableColumn id="11" xr3:uid="{FE6C22DF-5BA2-41F0-911F-95FDEB988EE7}" name="LOSING LONG POSITION" dataDxfId="9"/>
    <tableColumn id="12" xr3:uid="{CC3D6AD3-5BAC-4B66-87F0-487B045A6E07}" name="WINNING SHORT POSITION" dataDxfId="8"/>
    <tableColumn id="13" xr3:uid="{9E55A757-8A81-4A18-B486-F3C545028CBE}" name="LOSING SHORT POSITION" dataDxfId="7"/>
    <tableColumn id="14" xr3:uid="{5F61C781-E8B0-4DAB-9711-B86A286C4BD0}" name="Entry price(INR)" dataDxfId="6"/>
    <tableColumn id="15" xr3:uid="{2728E3C9-91C8-45D1-ADBE-DD5CC75514BC}" name="Exit price(INR)" dataDxfId="5"/>
    <tableColumn id="16" xr3:uid="{BA86EC33-217C-494D-A16E-327A3A59FC23}" name="Entry time(IST)" dataDxfId="4"/>
    <tableColumn id="17" xr3:uid="{18F296F9-7A56-4064-8316-AC1D0F809ED1}" name="Exit time(IST)" dataDxfId="3"/>
    <tableColumn id="18" xr3:uid="{2E1FD6BF-0F04-4374-8E64-57B6F2156590}" name=" REWARD" dataDxfId="2"/>
    <tableColumn id="19" xr3:uid="{2236B024-1723-4195-B786-0845B03B24C7}" name=" RISK" dataDxfId="1"/>
    <tableColumn id="20" xr3:uid="{2BB841C4-EFE9-4210-BD0A-261D4470447C}" name=" POSITION SIZ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CF86-823A-46E8-AD3C-CCF8DB51ED1F}">
  <dimension ref="A1:AB167"/>
  <sheetViews>
    <sheetView tabSelected="1" workbookViewId="0">
      <selection activeCell="E171" sqref="E171"/>
    </sheetView>
  </sheetViews>
  <sheetFormatPr defaultRowHeight="14.45"/>
  <cols>
    <col min="1" max="1" width="21.42578125" customWidth="1"/>
    <col min="2" max="2" width="13.5703125" bestFit="1" customWidth="1"/>
    <col min="3" max="3" width="10.85546875" bestFit="1" customWidth="1"/>
    <col min="4" max="4" width="14.28515625" customWidth="1"/>
    <col min="5" max="5" width="20" customWidth="1"/>
    <col min="6" max="6" width="19.5703125" customWidth="1"/>
    <col min="7" max="7" width="12.140625" customWidth="1"/>
    <col min="8" max="8" width="17.7109375" customWidth="1"/>
    <col min="9" max="9" width="16.28515625" customWidth="1"/>
    <col min="10" max="10" width="26.28515625" customWidth="1"/>
    <col min="11" max="11" width="24.7109375" customWidth="1"/>
    <col min="12" max="12" width="27.28515625" customWidth="1"/>
    <col min="13" max="13" width="25.7109375" customWidth="1"/>
    <col min="14" max="14" width="17.140625" customWidth="1"/>
    <col min="15" max="15" width="15.85546875" customWidth="1"/>
    <col min="16" max="16" width="16.140625" customWidth="1"/>
    <col min="17" max="17" width="14.85546875" customWidth="1"/>
    <col min="18" max="18" width="11.42578125" customWidth="1"/>
    <col min="19" max="19" width="10.42578125" bestFit="1" customWidth="1"/>
    <col min="20" max="20" width="16.42578125" customWidth="1"/>
    <col min="22" max="22" width="16.85546875" bestFit="1" customWidth="1"/>
    <col min="23" max="23" width="12.85546875" bestFit="1" customWidth="1"/>
    <col min="24" max="24" width="13.28515625" bestFit="1" customWidth="1"/>
    <col min="25" max="25" width="18.5703125" bestFit="1" customWidth="1"/>
    <col min="27" max="27" width="22.28515625" bestFit="1" customWidth="1"/>
    <col min="28" max="28" width="21" bestFit="1" customWidth="1"/>
  </cols>
  <sheetData>
    <row r="1" spans="1:28" ht="1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8" t="s">
        <v>19</v>
      </c>
    </row>
    <row r="2" spans="1:28" ht="18">
      <c r="A2" s="10" t="s">
        <v>20</v>
      </c>
      <c r="B2" s="11" t="s">
        <v>21</v>
      </c>
      <c r="C2" s="12">
        <v>45866</v>
      </c>
      <c r="D2" s="13">
        <v>1</v>
      </c>
      <c r="E2" s="14">
        <v>-8170</v>
      </c>
      <c r="F2" s="15" t="s">
        <v>22</v>
      </c>
      <c r="G2" s="13">
        <v>375</v>
      </c>
      <c r="H2" s="13">
        <v>0</v>
      </c>
      <c r="I2" s="13">
        <v>1</v>
      </c>
      <c r="J2" s="13">
        <v>0</v>
      </c>
      <c r="K2" s="13">
        <v>0</v>
      </c>
      <c r="L2" s="13">
        <v>0</v>
      </c>
      <c r="M2" s="13">
        <v>1</v>
      </c>
      <c r="N2" s="16">
        <v>76.400000000000006</v>
      </c>
      <c r="O2" s="17">
        <v>54.85</v>
      </c>
      <c r="P2" s="18">
        <v>0.38984953703703706</v>
      </c>
      <c r="Q2" s="18">
        <v>0.39726851851851852</v>
      </c>
      <c r="R2" s="14">
        <v>0</v>
      </c>
      <c r="S2" s="14">
        <v>8170</v>
      </c>
      <c r="T2" s="14">
        <v>28650</v>
      </c>
      <c r="AA2" s="19" t="s">
        <v>23</v>
      </c>
      <c r="AB2" s="20" t="s">
        <v>24</v>
      </c>
    </row>
    <row r="3" spans="1:28" ht="18">
      <c r="A3" s="10" t="s">
        <v>20</v>
      </c>
      <c r="B3" s="11" t="s">
        <v>21</v>
      </c>
      <c r="C3" s="12">
        <v>45866</v>
      </c>
      <c r="D3" s="13">
        <v>1</v>
      </c>
      <c r="E3" s="14">
        <v>-2470</v>
      </c>
      <c r="F3" s="15" t="s">
        <v>25</v>
      </c>
      <c r="G3" s="13">
        <v>375</v>
      </c>
      <c r="H3" s="13">
        <v>0</v>
      </c>
      <c r="I3" s="13">
        <v>1</v>
      </c>
      <c r="J3" s="13">
        <v>0</v>
      </c>
      <c r="K3" s="13">
        <v>1</v>
      </c>
      <c r="L3" s="13">
        <v>0</v>
      </c>
      <c r="M3" s="13">
        <v>0</v>
      </c>
      <c r="N3" s="21">
        <v>91.6</v>
      </c>
      <c r="O3" s="22">
        <v>85.3</v>
      </c>
      <c r="P3" s="23">
        <v>0.4042824074074074</v>
      </c>
      <c r="Q3" s="23">
        <v>0.41589120370370369</v>
      </c>
      <c r="R3" s="14">
        <v>0</v>
      </c>
      <c r="S3" s="14">
        <v>2470</v>
      </c>
      <c r="T3" s="14">
        <v>34350</v>
      </c>
      <c r="AA3" s="19" t="s">
        <v>26</v>
      </c>
      <c r="AB3" s="20">
        <v>5</v>
      </c>
    </row>
    <row r="4" spans="1:28" ht="18">
      <c r="A4" s="10" t="s">
        <v>20</v>
      </c>
      <c r="B4" s="11" t="s">
        <v>21</v>
      </c>
      <c r="C4" s="12">
        <v>45866</v>
      </c>
      <c r="D4" s="13">
        <v>1</v>
      </c>
      <c r="E4" s="14">
        <v>-4706</v>
      </c>
      <c r="F4" s="15" t="s">
        <v>22</v>
      </c>
      <c r="G4" s="13">
        <v>375</v>
      </c>
      <c r="H4" s="13">
        <v>0</v>
      </c>
      <c r="I4" s="13">
        <v>1</v>
      </c>
      <c r="J4" s="13">
        <v>0</v>
      </c>
      <c r="K4" s="13">
        <v>0</v>
      </c>
      <c r="L4" s="13">
        <v>0</v>
      </c>
      <c r="M4" s="13">
        <v>1</v>
      </c>
      <c r="N4" s="21">
        <v>76.650000000000006</v>
      </c>
      <c r="O4" s="22">
        <v>64.349999999999994</v>
      </c>
      <c r="P4" s="23">
        <v>0.41729166666666667</v>
      </c>
      <c r="Q4" s="23">
        <v>0.42398148148148146</v>
      </c>
      <c r="R4" s="14">
        <v>0</v>
      </c>
      <c r="S4" s="14">
        <v>4706</v>
      </c>
      <c r="T4" s="14">
        <v>28743</v>
      </c>
      <c r="V4" s="24" t="s">
        <v>27</v>
      </c>
      <c r="W4" s="25" t="s">
        <v>28</v>
      </c>
      <c r="X4" s="20" t="s">
        <v>29</v>
      </c>
      <c r="Y4" s="24" t="s">
        <v>30</v>
      </c>
      <c r="AA4" s="19" t="s">
        <v>31</v>
      </c>
      <c r="AB4" s="20" t="s">
        <v>32</v>
      </c>
    </row>
    <row r="5" spans="1:28" ht="18">
      <c r="A5" s="10" t="s">
        <v>20</v>
      </c>
      <c r="B5" s="11" t="s">
        <v>21</v>
      </c>
      <c r="C5" s="12">
        <v>45866</v>
      </c>
      <c r="D5" s="13">
        <v>1</v>
      </c>
      <c r="E5" s="14">
        <v>17025</v>
      </c>
      <c r="F5" s="15" t="s">
        <v>25</v>
      </c>
      <c r="G5" s="13">
        <v>375</v>
      </c>
      <c r="H5" s="13">
        <v>1</v>
      </c>
      <c r="I5" s="13">
        <v>0</v>
      </c>
      <c r="J5" s="13">
        <v>0</v>
      </c>
      <c r="K5" s="13">
        <v>0</v>
      </c>
      <c r="L5" s="13">
        <v>1</v>
      </c>
      <c r="M5" s="13">
        <v>0</v>
      </c>
      <c r="N5" s="21">
        <v>85.25</v>
      </c>
      <c r="O5" s="22">
        <v>131</v>
      </c>
      <c r="P5" s="23">
        <v>0.43465277777777778</v>
      </c>
      <c r="Q5" s="23">
        <v>0.44895833333333335</v>
      </c>
      <c r="R5" s="14">
        <v>17025</v>
      </c>
      <c r="S5" s="14">
        <v>3750</v>
      </c>
      <c r="T5" s="14">
        <v>31968</v>
      </c>
      <c r="V5" s="19" t="s">
        <v>20</v>
      </c>
      <c r="W5" s="20">
        <v>75</v>
      </c>
      <c r="X5" s="20"/>
      <c r="Y5" s="26" t="s">
        <v>33</v>
      </c>
      <c r="AA5" s="19" t="s">
        <v>34</v>
      </c>
      <c r="AB5" s="20">
        <v>10000</v>
      </c>
    </row>
    <row r="6" spans="1:28" ht="18">
      <c r="A6" s="27" t="s">
        <v>35</v>
      </c>
      <c r="B6" s="28" t="s">
        <v>21</v>
      </c>
      <c r="C6" s="29">
        <v>45866</v>
      </c>
      <c r="D6" s="30">
        <v>4</v>
      </c>
      <c r="E6" s="31">
        <f>SUM(E2:E5)</f>
        <v>1679</v>
      </c>
      <c r="F6" s="32" t="s">
        <v>22</v>
      </c>
      <c r="G6" s="30">
        <f t="shared" ref="G6:T6" si="0">SUBTOTAL(109,G2:G5)</f>
        <v>1500</v>
      </c>
      <c r="H6" s="30">
        <f t="shared" si="0"/>
        <v>1</v>
      </c>
      <c r="I6" s="30">
        <f t="shared" si="0"/>
        <v>3</v>
      </c>
      <c r="J6" s="30">
        <f t="shared" si="0"/>
        <v>0</v>
      </c>
      <c r="K6" s="30">
        <f t="shared" si="0"/>
        <v>1</v>
      </c>
      <c r="L6" s="30">
        <f t="shared" si="0"/>
        <v>1</v>
      </c>
      <c r="M6" s="30">
        <f t="shared" si="0"/>
        <v>2</v>
      </c>
      <c r="N6" s="31" t="s">
        <v>36</v>
      </c>
      <c r="O6" s="31" t="s">
        <v>36</v>
      </c>
      <c r="P6" s="33" t="s">
        <v>36</v>
      </c>
      <c r="Q6" s="33" t="s">
        <v>36</v>
      </c>
      <c r="R6" s="31">
        <f t="shared" si="0"/>
        <v>17025</v>
      </c>
      <c r="S6" s="31">
        <f t="shared" si="0"/>
        <v>19096</v>
      </c>
      <c r="T6" s="31">
        <f t="shared" si="0"/>
        <v>123711</v>
      </c>
      <c r="V6" s="19" t="s">
        <v>37</v>
      </c>
      <c r="W6" s="20">
        <v>35</v>
      </c>
      <c r="X6" s="20"/>
      <c r="Y6" s="19"/>
      <c r="AA6" s="19" t="s">
        <v>38</v>
      </c>
      <c r="AB6" s="20" t="s">
        <v>39</v>
      </c>
    </row>
    <row r="7" spans="1:28" ht="18">
      <c r="A7" s="34" t="s">
        <v>20</v>
      </c>
      <c r="B7" s="11" t="s">
        <v>40</v>
      </c>
      <c r="C7" s="12">
        <v>45867</v>
      </c>
      <c r="D7" s="13">
        <v>1</v>
      </c>
      <c r="E7" s="14">
        <v>4222</v>
      </c>
      <c r="F7" s="15" t="s">
        <v>25</v>
      </c>
      <c r="G7" s="13">
        <v>225</v>
      </c>
      <c r="H7" s="13">
        <v>1</v>
      </c>
      <c r="I7" s="13">
        <v>0</v>
      </c>
      <c r="J7" s="13">
        <v>1</v>
      </c>
      <c r="K7" s="13">
        <v>0</v>
      </c>
      <c r="L7" s="13">
        <v>0</v>
      </c>
      <c r="M7" s="13">
        <v>0</v>
      </c>
      <c r="N7" s="16">
        <v>77.849999999999994</v>
      </c>
      <c r="O7" s="17">
        <v>97</v>
      </c>
      <c r="P7" s="23">
        <v>0.45149305555555558</v>
      </c>
      <c r="Q7" s="23">
        <v>0.46991898148148148</v>
      </c>
      <c r="R7" s="14">
        <v>4222</v>
      </c>
      <c r="S7" s="14">
        <v>2250</v>
      </c>
      <c r="T7" s="14">
        <v>17516</v>
      </c>
      <c r="AA7" s="19" t="s">
        <v>41</v>
      </c>
      <c r="AB7" s="20" t="s">
        <v>42</v>
      </c>
    </row>
    <row r="8" spans="1:28" ht="18">
      <c r="A8" s="34" t="s">
        <v>20</v>
      </c>
      <c r="B8" s="11" t="s">
        <v>40</v>
      </c>
      <c r="C8" s="12">
        <v>45867</v>
      </c>
      <c r="D8" s="13">
        <v>1</v>
      </c>
      <c r="E8" s="14">
        <v>-1382</v>
      </c>
      <c r="F8" s="15" t="s">
        <v>25</v>
      </c>
      <c r="G8" s="13">
        <v>225</v>
      </c>
      <c r="H8" s="13">
        <v>0</v>
      </c>
      <c r="I8" s="13">
        <v>1</v>
      </c>
      <c r="J8" s="13">
        <v>0</v>
      </c>
      <c r="K8" s="13">
        <v>0</v>
      </c>
      <c r="L8" s="13">
        <v>0</v>
      </c>
      <c r="M8" s="13">
        <v>1</v>
      </c>
      <c r="N8" s="21">
        <v>75.900000000000006</v>
      </c>
      <c r="O8" s="22">
        <v>70.099999999999994</v>
      </c>
      <c r="P8" s="35">
        <v>0.56716435185185188</v>
      </c>
      <c r="Q8" s="35">
        <v>0.56923611111111116</v>
      </c>
      <c r="R8" s="14">
        <v>0</v>
      </c>
      <c r="S8" s="14">
        <v>1382</v>
      </c>
      <c r="T8" s="14">
        <v>17077</v>
      </c>
    </row>
    <row r="9" spans="1:28" ht="18">
      <c r="A9" s="34" t="s">
        <v>20</v>
      </c>
      <c r="B9" s="11" t="s">
        <v>40</v>
      </c>
      <c r="C9" s="12">
        <v>45867</v>
      </c>
      <c r="D9" s="13">
        <v>1</v>
      </c>
      <c r="E9" s="14">
        <v>3887</v>
      </c>
      <c r="F9" s="15" t="s">
        <v>25</v>
      </c>
      <c r="G9" s="13">
        <v>225</v>
      </c>
      <c r="H9" s="13">
        <v>1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21">
        <v>73.75</v>
      </c>
      <c r="O9" s="22">
        <v>91.4</v>
      </c>
      <c r="P9" s="35">
        <v>0.5703125</v>
      </c>
      <c r="Q9" s="35">
        <v>0.58049768518518519</v>
      </c>
      <c r="R9" s="14">
        <v>3887</v>
      </c>
      <c r="S9" s="14">
        <v>2250</v>
      </c>
      <c r="T9" s="14">
        <v>16593</v>
      </c>
    </row>
    <row r="10" spans="1:28" ht="18">
      <c r="A10" s="36" t="s">
        <v>35</v>
      </c>
      <c r="B10" s="28" t="s">
        <v>40</v>
      </c>
      <c r="C10" s="29">
        <v>45867</v>
      </c>
      <c r="D10" s="30">
        <v>3</v>
      </c>
      <c r="E10" s="31">
        <v>6726</v>
      </c>
      <c r="F10" s="37" t="s">
        <v>25</v>
      </c>
      <c r="G10" s="30">
        <v>675</v>
      </c>
      <c r="H10" s="30">
        <v>2</v>
      </c>
      <c r="I10" s="30">
        <v>1</v>
      </c>
      <c r="J10" s="30">
        <v>2</v>
      </c>
      <c r="K10" s="30">
        <v>0</v>
      </c>
      <c r="L10" s="30">
        <v>0</v>
      </c>
      <c r="M10" s="30">
        <v>1</v>
      </c>
      <c r="N10" s="31"/>
      <c r="O10" s="31"/>
      <c r="P10" s="33"/>
      <c r="Q10" s="33"/>
      <c r="R10" s="31">
        <v>8109</v>
      </c>
      <c r="S10" s="31">
        <f>SUM(S7:S9)</f>
        <v>5882</v>
      </c>
      <c r="T10" s="31">
        <v>51186</v>
      </c>
    </row>
    <row r="11" spans="1:28" ht="18">
      <c r="A11" s="10" t="s">
        <v>20</v>
      </c>
      <c r="B11" s="11" t="s">
        <v>43</v>
      </c>
      <c r="C11" s="12">
        <v>45868</v>
      </c>
      <c r="D11" s="13">
        <v>1</v>
      </c>
      <c r="E11" s="14">
        <v>-4076</v>
      </c>
      <c r="F11" s="15" t="s">
        <v>22</v>
      </c>
      <c r="G11" s="13">
        <v>225</v>
      </c>
      <c r="H11" s="13">
        <v>0</v>
      </c>
      <c r="I11" s="13">
        <v>1</v>
      </c>
      <c r="J11" s="13">
        <v>0</v>
      </c>
      <c r="K11" s="13">
        <v>1</v>
      </c>
      <c r="L11" s="13">
        <v>0</v>
      </c>
      <c r="M11" s="13">
        <v>0</v>
      </c>
      <c r="N11" s="21">
        <v>71.3</v>
      </c>
      <c r="O11" s="22">
        <v>53.5</v>
      </c>
      <c r="P11" s="35">
        <v>0.48445601851851849</v>
      </c>
      <c r="Q11" s="35">
        <v>0.48653935185185188</v>
      </c>
      <c r="R11" s="14">
        <v>0</v>
      </c>
      <c r="S11" s="14">
        <v>4076</v>
      </c>
      <c r="T11" s="14">
        <v>16042</v>
      </c>
    </row>
    <row r="12" spans="1:28" ht="18">
      <c r="A12" s="10" t="s">
        <v>20</v>
      </c>
      <c r="B12" s="11" t="s">
        <v>43</v>
      </c>
      <c r="C12" s="12">
        <v>45868</v>
      </c>
      <c r="D12" s="13">
        <v>1</v>
      </c>
      <c r="E12" s="14">
        <v>-2241</v>
      </c>
      <c r="F12" s="15" t="s">
        <v>25</v>
      </c>
      <c r="G12" s="13">
        <v>225</v>
      </c>
      <c r="H12" s="13">
        <v>0</v>
      </c>
      <c r="I12" s="13">
        <v>1</v>
      </c>
      <c r="J12" s="13">
        <v>0</v>
      </c>
      <c r="K12" s="13">
        <v>1</v>
      </c>
      <c r="L12" s="13">
        <v>0</v>
      </c>
      <c r="M12" s="13">
        <v>0</v>
      </c>
      <c r="N12" s="21">
        <v>63.5</v>
      </c>
      <c r="O12" s="22">
        <v>53.85</v>
      </c>
      <c r="P12" s="35">
        <v>0.48774305555555558</v>
      </c>
      <c r="Q12" s="35">
        <v>0.49296296296296294</v>
      </c>
      <c r="R12" s="14">
        <v>0</v>
      </c>
      <c r="S12" s="14">
        <v>2241</v>
      </c>
      <c r="T12" s="14">
        <v>14287</v>
      </c>
    </row>
    <row r="13" spans="1:28" ht="18">
      <c r="A13" s="10" t="s">
        <v>20</v>
      </c>
      <c r="B13" s="11" t="s">
        <v>43</v>
      </c>
      <c r="C13" s="12">
        <v>45868</v>
      </c>
      <c r="D13" s="13">
        <v>1</v>
      </c>
      <c r="E13" s="14">
        <v>-2327</v>
      </c>
      <c r="F13" s="15" t="s">
        <v>25</v>
      </c>
      <c r="G13" s="13">
        <v>225</v>
      </c>
      <c r="H13" s="13">
        <v>0</v>
      </c>
      <c r="I13" s="13">
        <v>1</v>
      </c>
      <c r="J13" s="13">
        <v>0</v>
      </c>
      <c r="K13" s="13">
        <v>0</v>
      </c>
      <c r="L13" s="13">
        <v>0</v>
      </c>
      <c r="M13" s="13">
        <v>1</v>
      </c>
      <c r="N13" s="21">
        <v>79.05</v>
      </c>
      <c r="O13" s="22">
        <v>69.05</v>
      </c>
      <c r="P13" s="35">
        <v>0.4939236111111111</v>
      </c>
      <c r="Q13" s="35">
        <v>0.49774305555555554</v>
      </c>
      <c r="R13" s="14">
        <v>0</v>
      </c>
      <c r="S13" s="14">
        <v>2327</v>
      </c>
      <c r="T13" s="14">
        <v>17786</v>
      </c>
    </row>
    <row r="14" spans="1:28" ht="18">
      <c r="A14" s="10" t="s">
        <v>20</v>
      </c>
      <c r="B14" s="11" t="s">
        <v>43</v>
      </c>
      <c r="C14" s="12">
        <v>45868</v>
      </c>
      <c r="D14" s="13">
        <v>1</v>
      </c>
      <c r="E14" s="14">
        <v>-2036</v>
      </c>
      <c r="F14" s="15" t="s">
        <v>25</v>
      </c>
      <c r="G14" s="13">
        <v>225</v>
      </c>
      <c r="H14" s="13">
        <v>0</v>
      </c>
      <c r="I14" s="13">
        <v>1</v>
      </c>
      <c r="J14" s="13">
        <v>0</v>
      </c>
      <c r="K14" s="13">
        <v>0</v>
      </c>
      <c r="L14" s="13">
        <v>0</v>
      </c>
      <c r="M14" s="13">
        <v>1</v>
      </c>
      <c r="N14" s="21">
        <v>82.3</v>
      </c>
      <c r="O14" s="22">
        <v>73.599999999999994</v>
      </c>
      <c r="P14" s="35">
        <v>0.50944444444444448</v>
      </c>
      <c r="Q14" s="35">
        <v>0.5383796296296296</v>
      </c>
      <c r="R14" s="14">
        <v>0</v>
      </c>
      <c r="S14" s="14">
        <v>2036</v>
      </c>
      <c r="T14" s="14">
        <v>18517</v>
      </c>
    </row>
    <row r="15" spans="1:28" ht="18">
      <c r="A15" s="10" t="s">
        <v>20</v>
      </c>
      <c r="B15" s="11" t="s">
        <v>43</v>
      </c>
      <c r="C15" s="12">
        <v>45868</v>
      </c>
      <c r="D15" s="13">
        <v>1</v>
      </c>
      <c r="E15" s="14">
        <v>-4786</v>
      </c>
      <c r="F15" s="15" t="s">
        <v>22</v>
      </c>
      <c r="G15" s="13">
        <v>450</v>
      </c>
      <c r="H15" s="13">
        <v>0</v>
      </c>
      <c r="I15" s="13">
        <v>1</v>
      </c>
      <c r="J15" s="13">
        <v>0</v>
      </c>
      <c r="K15" s="13">
        <v>0</v>
      </c>
      <c r="L15" s="13">
        <v>0</v>
      </c>
      <c r="M15" s="13">
        <v>1</v>
      </c>
      <c r="N15" s="21">
        <v>78.25</v>
      </c>
      <c r="O15" s="22">
        <v>67.849999999999994</v>
      </c>
      <c r="P15" s="35">
        <v>0.54837962962962961</v>
      </c>
      <c r="Q15" s="35">
        <v>0.60149305555555554</v>
      </c>
      <c r="R15" s="14">
        <v>0</v>
      </c>
      <c r="S15" s="14">
        <v>4786</v>
      </c>
      <c r="T15" s="14">
        <v>35212</v>
      </c>
    </row>
    <row r="16" spans="1:28" ht="18">
      <c r="A16" s="27" t="s">
        <v>35</v>
      </c>
      <c r="B16" s="28" t="s">
        <v>43</v>
      </c>
      <c r="C16" s="29">
        <v>45868</v>
      </c>
      <c r="D16" s="30">
        <f>SUM(D11:D15)</f>
        <v>5</v>
      </c>
      <c r="E16" s="31">
        <f>SUM(E11:E15)</f>
        <v>-15466</v>
      </c>
      <c r="F16" s="38" t="s">
        <v>22</v>
      </c>
      <c r="G16" s="30">
        <f>SUM(G11:G15)</f>
        <v>1350</v>
      </c>
      <c r="H16" s="30">
        <v>0</v>
      </c>
      <c r="I16" s="30">
        <v>5</v>
      </c>
      <c r="J16" s="30">
        <v>0</v>
      </c>
      <c r="K16" s="30">
        <v>2</v>
      </c>
      <c r="L16" s="30">
        <v>0</v>
      </c>
      <c r="M16" s="30">
        <v>3</v>
      </c>
      <c r="N16" s="31" t="s">
        <v>36</v>
      </c>
      <c r="O16" s="31" t="s">
        <v>36</v>
      </c>
      <c r="P16" s="33" t="s">
        <v>36</v>
      </c>
      <c r="Q16" s="33" t="s">
        <v>36</v>
      </c>
      <c r="R16" s="31">
        <v>0</v>
      </c>
      <c r="S16" s="31">
        <f>SUM(S11:S15)</f>
        <v>15466</v>
      </c>
      <c r="T16" s="31">
        <f>SUM(T11:T15)</f>
        <v>101844</v>
      </c>
    </row>
    <row r="17" spans="1:20" ht="18">
      <c r="A17" s="10" t="s">
        <v>20</v>
      </c>
      <c r="B17" s="11" t="s">
        <v>44</v>
      </c>
      <c r="C17" s="12">
        <v>45869</v>
      </c>
      <c r="D17" s="13">
        <v>1</v>
      </c>
      <c r="E17" s="14">
        <v>4241</v>
      </c>
      <c r="F17" s="15" t="s">
        <v>25</v>
      </c>
      <c r="G17" s="13">
        <v>225</v>
      </c>
      <c r="H17" s="13">
        <v>1</v>
      </c>
      <c r="I17" s="13">
        <v>0</v>
      </c>
      <c r="J17" s="13">
        <v>1</v>
      </c>
      <c r="K17" s="13">
        <v>0</v>
      </c>
      <c r="L17" s="13">
        <v>0</v>
      </c>
      <c r="M17" s="13">
        <v>0</v>
      </c>
      <c r="N17" s="21">
        <v>87.15</v>
      </c>
      <c r="O17" s="22">
        <v>106.4</v>
      </c>
      <c r="P17" s="35">
        <v>0.50768518518518524</v>
      </c>
      <c r="Q17" s="35">
        <v>0.50848379629629625</v>
      </c>
      <c r="R17" s="14">
        <v>4241</v>
      </c>
      <c r="S17" s="14">
        <v>2250</v>
      </c>
      <c r="T17" s="14">
        <v>19608</v>
      </c>
    </row>
    <row r="18" spans="1:20" ht="18">
      <c r="A18" s="10" t="s">
        <v>20</v>
      </c>
      <c r="B18" s="11" t="s">
        <v>44</v>
      </c>
      <c r="C18" s="12">
        <v>45869</v>
      </c>
      <c r="D18" s="13">
        <v>1</v>
      </c>
      <c r="E18" s="14">
        <v>3073</v>
      </c>
      <c r="F18" s="15" t="s">
        <v>25</v>
      </c>
      <c r="G18" s="13">
        <v>225</v>
      </c>
      <c r="H18" s="13">
        <v>1</v>
      </c>
      <c r="I18" s="13">
        <v>0</v>
      </c>
      <c r="J18" s="13">
        <v>1</v>
      </c>
      <c r="K18" s="13">
        <v>0</v>
      </c>
      <c r="L18" s="13">
        <v>0</v>
      </c>
      <c r="M18" s="13">
        <v>0</v>
      </c>
      <c r="N18" s="21">
        <v>86.8</v>
      </c>
      <c r="O18" s="22">
        <v>100.85</v>
      </c>
      <c r="P18" s="35">
        <v>0.54033564814814816</v>
      </c>
      <c r="Q18" s="35">
        <v>0.55047453703703708</v>
      </c>
      <c r="R18" s="14">
        <v>3073</v>
      </c>
      <c r="S18" s="14">
        <v>2250</v>
      </c>
      <c r="T18" s="14">
        <v>19530</v>
      </c>
    </row>
    <row r="19" spans="1:20" s="39" customFormat="1" ht="18">
      <c r="A19" s="10" t="s">
        <v>20</v>
      </c>
      <c r="B19" s="11" t="s">
        <v>44</v>
      </c>
      <c r="C19" s="12">
        <v>45869</v>
      </c>
      <c r="D19" s="13">
        <v>1</v>
      </c>
      <c r="E19" s="14">
        <v>-10989</v>
      </c>
      <c r="F19" s="15" t="s">
        <v>22</v>
      </c>
      <c r="G19" s="13">
        <v>225</v>
      </c>
      <c r="H19" s="13">
        <v>0</v>
      </c>
      <c r="I19" s="13">
        <v>1</v>
      </c>
      <c r="J19" s="13">
        <v>0</v>
      </c>
      <c r="K19" s="13">
        <v>1</v>
      </c>
      <c r="L19" s="13">
        <v>0</v>
      </c>
      <c r="M19" s="13">
        <v>0</v>
      </c>
      <c r="N19" s="21">
        <v>81.349999999999994</v>
      </c>
      <c r="O19" s="22">
        <v>32.799999999999997</v>
      </c>
      <c r="P19" s="35">
        <v>0.59469907407407407</v>
      </c>
      <c r="Q19" s="35">
        <v>0.60365740740740736</v>
      </c>
      <c r="R19" s="14">
        <v>0</v>
      </c>
      <c r="S19" s="14">
        <v>10989</v>
      </c>
      <c r="T19" s="14">
        <v>18303</v>
      </c>
    </row>
    <row r="20" spans="1:20" ht="18">
      <c r="A20" s="10" t="s">
        <v>20</v>
      </c>
      <c r="B20" s="11" t="s">
        <v>44</v>
      </c>
      <c r="C20" s="12">
        <v>45869</v>
      </c>
      <c r="D20" s="13">
        <v>1</v>
      </c>
      <c r="E20" s="14">
        <v>9874</v>
      </c>
      <c r="F20" s="15" t="s">
        <v>22</v>
      </c>
      <c r="G20" s="13">
        <v>450</v>
      </c>
      <c r="H20" s="13">
        <v>1</v>
      </c>
      <c r="I20" s="13">
        <v>0</v>
      </c>
      <c r="J20" s="13">
        <v>1</v>
      </c>
      <c r="K20" s="13">
        <v>0</v>
      </c>
      <c r="L20" s="13">
        <v>0</v>
      </c>
      <c r="M20" s="13">
        <v>0</v>
      </c>
      <c r="N20" s="21">
        <v>64.150000000000006</v>
      </c>
      <c r="O20" s="22">
        <v>86.35</v>
      </c>
      <c r="P20" s="35">
        <v>0.60518518518518516</v>
      </c>
      <c r="Q20" s="35">
        <v>0.61090277777777779</v>
      </c>
      <c r="R20" s="14">
        <v>9874</v>
      </c>
      <c r="S20" s="14">
        <v>4500</v>
      </c>
      <c r="T20" s="14">
        <v>28867</v>
      </c>
    </row>
    <row r="21" spans="1:20" ht="18">
      <c r="A21" s="10" t="s">
        <v>20</v>
      </c>
      <c r="B21" s="11" t="s">
        <v>44</v>
      </c>
      <c r="C21" s="12">
        <v>45869</v>
      </c>
      <c r="D21" s="13">
        <v>1</v>
      </c>
      <c r="E21" s="14">
        <v>6845</v>
      </c>
      <c r="F21" s="15" t="s">
        <v>25</v>
      </c>
      <c r="G21" s="13">
        <v>225</v>
      </c>
      <c r="H21" s="13">
        <v>1</v>
      </c>
      <c r="I21" s="13">
        <v>0</v>
      </c>
      <c r="J21" s="13">
        <v>0</v>
      </c>
      <c r="K21" s="13">
        <v>0</v>
      </c>
      <c r="L21" s="13">
        <v>1</v>
      </c>
      <c r="M21" s="13">
        <v>0</v>
      </c>
      <c r="N21" s="21">
        <v>91.65</v>
      </c>
      <c r="O21" s="22">
        <v>122.5</v>
      </c>
      <c r="P21" s="35">
        <v>0.61315972222222226</v>
      </c>
      <c r="Q21" s="35">
        <v>0.62163194444444447</v>
      </c>
      <c r="R21" s="14">
        <v>6845</v>
      </c>
      <c r="S21" s="14">
        <v>2250</v>
      </c>
      <c r="T21" s="14">
        <v>20621</v>
      </c>
    </row>
    <row r="22" spans="1:20" ht="18">
      <c r="A22" s="27" t="s">
        <v>35</v>
      </c>
      <c r="B22" s="28" t="s">
        <v>44</v>
      </c>
      <c r="C22" s="29">
        <v>45869</v>
      </c>
      <c r="D22" s="30">
        <f>SUM(D17:D21)</f>
        <v>5</v>
      </c>
      <c r="E22" s="31">
        <f>SUM(E17:E21)</f>
        <v>13044</v>
      </c>
      <c r="F22" s="32" t="s">
        <v>22</v>
      </c>
      <c r="G22" s="30">
        <f>SUM(G17:G21)</f>
        <v>1350</v>
      </c>
      <c r="H22" s="30">
        <v>4</v>
      </c>
      <c r="I22" s="30">
        <v>1</v>
      </c>
      <c r="J22" s="30">
        <v>3</v>
      </c>
      <c r="K22" s="30">
        <v>1</v>
      </c>
      <c r="L22" s="30">
        <v>1</v>
      </c>
      <c r="M22" s="30">
        <v>0</v>
      </c>
      <c r="N22" s="31" t="s">
        <v>36</v>
      </c>
      <c r="O22" s="31" t="s">
        <v>36</v>
      </c>
      <c r="P22" s="33" t="s">
        <v>36</v>
      </c>
      <c r="Q22" s="33" t="s">
        <v>36</v>
      </c>
      <c r="R22" s="31">
        <f>SUM(R17:R21)</f>
        <v>24033</v>
      </c>
      <c r="S22" s="31">
        <f>SUM(S17:S21)</f>
        <v>22239</v>
      </c>
      <c r="T22" s="31">
        <f>SUM(T17:T21)</f>
        <v>106929</v>
      </c>
    </row>
    <row r="23" spans="1:20" s="39" customFormat="1" ht="18">
      <c r="A23" s="10" t="s">
        <v>20</v>
      </c>
      <c r="B23" s="11" t="s">
        <v>45</v>
      </c>
      <c r="C23" s="12">
        <v>45870</v>
      </c>
      <c r="D23" s="13">
        <v>1</v>
      </c>
      <c r="E23" s="14">
        <v>4613</v>
      </c>
      <c r="F23" s="15" t="s">
        <v>25</v>
      </c>
      <c r="G23" s="13">
        <v>225</v>
      </c>
      <c r="H23" s="13">
        <v>1</v>
      </c>
      <c r="I23" s="13">
        <v>0</v>
      </c>
      <c r="J23" s="13">
        <v>0</v>
      </c>
      <c r="K23" s="13">
        <v>0</v>
      </c>
      <c r="L23" s="13">
        <v>1</v>
      </c>
      <c r="M23" s="13">
        <v>0</v>
      </c>
      <c r="N23" s="21">
        <v>111.45</v>
      </c>
      <c r="O23" s="22">
        <v>132.4</v>
      </c>
      <c r="P23" s="40">
        <v>0.52351851851851849</v>
      </c>
      <c r="Q23" s="40">
        <v>0.52861111111111114</v>
      </c>
      <c r="R23" s="14">
        <v>4613</v>
      </c>
      <c r="S23" s="14">
        <v>2250</v>
      </c>
      <c r="T23" s="14">
        <v>25076</v>
      </c>
    </row>
    <row r="24" spans="1:20" ht="18">
      <c r="A24" s="10" t="s">
        <v>20</v>
      </c>
      <c r="B24" s="11" t="s">
        <v>45</v>
      </c>
      <c r="C24" s="12">
        <v>45870</v>
      </c>
      <c r="D24" s="13">
        <v>1</v>
      </c>
      <c r="E24" s="14">
        <v>-2478</v>
      </c>
      <c r="F24" s="15" t="s">
        <v>25</v>
      </c>
      <c r="G24" s="13">
        <v>225</v>
      </c>
      <c r="H24" s="13">
        <v>0</v>
      </c>
      <c r="I24" s="13">
        <v>1</v>
      </c>
      <c r="J24" s="13">
        <v>0</v>
      </c>
      <c r="K24" s="13">
        <v>0</v>
      </c>
      <c r="L24" s="13">
        <v>0</v>
      </c>
      <c r="M24" s="13">
        <v>1</v>
      </c>
      <c r="N24" s="21">
        <v>91.9</v>
      </c>
      <c r="O24" s="22">
        <v>81.25</v>
      </c>
      <c r="P24" s="40">
        <v>0.569849537037037</v>
      </c>
      <c r="Q24" s="40">
        <v>0.57241898148148151</v>
      </c>
      <c r="R24" s="14">
        <v>0</v>
      </c>
      <c r="S24" s="14">
        <v>2478</v>
      </c>
      <c r="T24" s="14">
        <v>20677</v>
      </c>
    </row>
    <row r="25" spans="1:20" ht="18">
      <c r="A25" s="10" t="s">
        <v>20</v>
      </c>
      <c r="B25" s="11" t="s">
        <v>45</v>
      </c>
      <c r="C25" s="12">
        <v>45870</v>
      </c>
      <c r="D25" s="13">
        <v>1</v>
      </c>
      <c r="E25" s="14">
        <v>-2587</v>
      </c>
      <c r="F25" s="15" t="s">
        <v>25</v>
      </c>
      <c r="G25" s="13">
        <v>225</v>
      </c>
      <c r="H25" s="13">
        <v>0</v>
      </c>
      <c r="I25" s="13">
        <v>1</v>
      </c>
      <c r="J25" s="13">
        <v>0</v>
      </c>
      <c r="K25" s="13">
        <v>1</v>
      </c>
      <c r="L25" s="13">
        <v>0</v>
      </c>
      <c r="M25" s="13">
        <v>0</v>
      </c>
      <c r="N25" s="21">
        <v>111.1</v>
      </c>
      <c r="O25" s="22">
        <v>100</v>
      </c>
      <c r="P25" s="40">
        <v>0.57423611111111106</v>
      </c>
      <c r="Q25" s="40">
        <v>0.58278935185185188</v>
      </c>
      <c r="R25" s="14">
        <v>0</v>
      </c>
      <c r="S25" s="14">
        <v>2587</v>
      </c>
      <c r="T25" s="14">
        <v>24997</v>
      </c>
    </row>
    <row r="26" spans="1:20" ht="18">
      <c r="A26" s="10" t="s">
        <v>20</v>
      </c>
      <c r="B26" s="11" t="s">
        <v>45</v>
      </c>
      <c r="C26" s="12">
        <v>45870</v>
      </c>
      <c r="D26" s="13">
        <v>1</v>
      </c>
      <c r="E26" s="14">
        <v>-1641</v>
      </c>
      <c r="F26" s="15" t="s">
        <v>25</v>
      </c>
      <c r="G26" s="13">
        <v>225</v>
      </c>
      <c r="H26" s="13">
        <v>0</v>
      </c>
      <c r="I26" s="13">
        <v>1</v>
      </c>
      <c r="J26" s="13">
        <v>0</v>
      </c>
      <c r="K26" s="13">
        <v>0</v>
      </c>
      <c r="L26" s="13">
        <v>0</v>
      </c>
      <c r="M26" s="13">
        <v>1</v>
      </c>
      <c r="N26" s="21">
        <v>105.15</v>
      </c>
      <c r="O26" s="22">
        <v>98.25</v>
      </c>
      <c r="P26" s="40">
        <v>0.58401620370370366</v>
      </c>
      <c r="Q26" s="40">
        <v>0.60677083333333337</v>
      </c>
      <c r="R26" s="14">
        <v>0</v>
      </c>
      <c r="S26" s="14">
        <v>1641</v>
      </c>
      <c r="T26" s="14">
        <v>23658</v>
      </c>
    </row>
    <row r="27" spans="1:20" ht="18">
      <c r="A27" s="10" t="s">
        <v>20</v>
      </c>
      <c r="B27" s="11" t="s">
        <v>45</v>
      </c>
      <c r="C27" s="12">
        <v>45870</v>
      </c>
      <c r="D27" s="13">
        <v>1</v>
      </c>
      <c r="E27" s="14">
        <v>-1224</v>
      </c>
      <c r="F27" s="15" t="s">
        <v>25</v>
      </c>
      <c r="G27" s="13">
        <v>225</v>
      </c>
      <c r="H27" s="13">
        <v>0</v>
      </c>
      <c r="I27" s="13">
        <v>1</v>
      </c>
      <c r="J27" s="13">
        <v>0</v>
      </c>
      <c r="K27" s="13">
        <v>1</v>
      </c>
      <c r="L27" s="13">
        <v>0</v>
      </c>
      <c r="M27" s="13">
        <v>0</v>
      </c>
      <c r="N27" s="21">
        <v>101.7</v>
      </c>
      <c r="O27" s="22">
        <v>96.65</v>
      </c>
      <c r="P27" s="40">
        <v>0.60707175925925927</v>
      </c>
      <c r="Q27" s="40">
        <v>0.60993055555555553</v>
      </c>
      <c r="R27" s="14">
        <v>0</v>
      </c>
      <c r="S27" s="14">
        <v>1224</v>
      </c>
      <c r="T27" s="14">
        <v>22882</v>
      </c>
    </row>
    <row r="28" spans="1:20" ht="18">
      <c r="A28" s="10" t="s">
        <v>20</v>
      </c>
      <c r="B28" s="11" t="s">
        <v>45</v>
      </c>
      <c r="C28" s="12">
        <v>45870</v>
      </c>
      <c r="D28" s="13">
        <v>1</v>
      </c>
      <c r="E28" s="14">
        <v>4985</v>
      </c>
      <c r="F28" s="15" t="s">
        <v>22</v>
      </c>
      <c r="G28" s="13">
        <v>450</v>
      </c>
      <c r="H28" s="13">
        <v>1</v>
      </c>
      <c r="I28" s="13">
        <v>0</v>
      </c>
      <c r="J28" s="13">
        <v>0</v>
      </c>
      <c r="K28" s="13">
        <v>0</v>
      </c>
      <c r="L28" s="13">
        <v>1</v>
      </c>
      <c r="M28" s="13">
        <v>0</v>
      </c>
      <c r="N28" s="21">
        <v>108.05</v>
      </c>
      <c r="O28" s="22">
        <v>119.45</v>
      </c>
      <c r="P28" s="40">
        <v>0.61008101851851848</v>
      </c>
      <c r="Q28" s="40">
        <v>0.62913194444444442</v>
      </c>
      <c r="R28" s="14">
        <v>4985</v>
      </c>
      <c r="S28" s="14">
        <v>4500</v>
      </c>
      <c r="T28" s="14">
        <v>48622</v>
      </c>
    </row>
    <row r="29" spans="1:20" s="39" customFormat="1" ht="18">
      <c r="A29" s="27" t="s">
        <v>35</v>
      </c>
      <c r="B29" s="28" t="s">
        <v>45</v>
      </c>
      <c r="C29" s="29">
        <v>45870</v>
      </c>
      <c r="D29" s="30">
        <f>SUM(D23:D28)</f>
        <v>6</v>
      </c>
      <c r="E29" s="31">
        <f>SUM(E23:E28)</f>
        <v>1668</v>
      </c>
      <c r="F29" s="38" t="s">
        <v>22</v>
      </c>
      <c r="G29" s="30">
        <f>SUM(G23:G28)</f>
        <v>1575</v>
      </c>
      <c r="H29" s="30">
        <v>2</v>
      </c>
      <c r="I29" s="30">
        <v>4</v>
      </c>
      <c r="J29" s="30">
        <v>0</v>
      </c>
      <c r="K29" s="30">
        <v>2</v>
      </c>
      <c r="L29" s="30">
        <v>2</v>
      </c>
      <c r="M29" s="30">
        <v>2</v>
      </c>
      <c r="N29" s="31" t="s">
        <v>36</v>
      </c>
      <c r="O29" s="31" t="s">
        <v>36</v>
      </c>
      <c r="P29" s="33" t="s">
        <v>36</v>
      </c>
      <c r="Q29" s="33" t="s">
        <v>36</v>
      </c>
      <c r="R29" s="31">
        <f>SUM(R23:R28)</f>
        <v>9598</v>
      </c>
      <c r="S29" s="31">
        <f>SUM(S23:S28)</f>
        <v>14680</v>
      </c>
      <c r="T29" s="31">
        <f>SUM(T23:T28)</f>
        <v>165912</v>
      </c>
    </row>
    <row r="30" spans="1:20" ht="18">
      <c r="A30" s="10" t="s">
        <v>20</v>
      </c>
      <c r="B30" s="11" t="s">
        <v>21</v>
      </c>
      <c r="C30" s="12">
        <v>45873</v>
      </c>
      <c r="D30" s="13">
        <v>1</v>
      </c>
      <c r="E30" s="14">
        <v>-1584</v>
      </c>
      <c r="F30" s="15" t="s">
        <v>25</v>
      </c>
      <c r="G30" s="13">
        <v>150</v>
      </c>
      <c r="H30" s="13">
        <v>0</v>
      </c>
      <c r="I30" s="13">
        <v>1</v>
      </c>
      <c r="J30" s="13">
        <v>0</v>
      </c>
      <c r="K30" s="13">
        <v>1</v>
      </c>
      <c r="L30" s="13">
        <v>0</v>
      </c>
      <c r="M30" s="13">
        <v>0</v>
      </c>
      <c r="N30" s="21">
        <v>143</v>
      </c>
      <c r="O30" s="22">
        <v>133</v>
      </c>
      <c r="P30" s="40">
        <v>0.57421296296296298</v>
      </c>
      <c r="Q30" s="40">
        <v>0.58491898148148147</v>
      </c>
      <c r="R30" s="14">
        <v>0</v>
      </c>
      <c r="S30" s="14">
        <v>1584</v>
      </c>
      <c r="T30" s="14">
        <v>21450</v>
      </c>
    </row>
    <row r="31" spans="1:20" ht="18">
      <c r="A31" s="10" t="s">
        <v>20</v>
      </c>
      <c r="B31" s="11" t="s">
        <v>21</v>
      </c>
      <c r="C31" s="12">
        <v>45873</v>
      </c>
      <c r="D31" s="13">
        <v>1</v>
      </c>
      <c r="E31" s="14">
        <v>-1532</v>
      </c>
      <c r="F31" s="15" t="s">
        <v>25</v>
      </c>
      <c r="G31" s="13">
        <v>150</v>
      </c>
      <c r="H31" s="13">
        <v>0</v>
      </c>
      <c r="I31" s="13">
        <v>1</v>
      </c>
      <c r="J31" s="13">
        <v>0</v>
      </c>
      <c r="K31" s="13">
        <v>0</v>
      </c>
      <c r="L31" s="13">
        <v>0</v>
      </c>
      <c r="M31" s="13">
        <v>1</v>
      </c>
      <c r="N31" s="21">
        <v>144.65</v>
      </c>
      <c r="O31" s="22">
        <v>135</v>
      </c>
      <c r="P31" s="40">
        <v>0.58589120370370373</v>
      </c>
      <c r="Q31" s="40">
        <v>0.58947916666666667</v>
      </c>
      <c r="R31" s="14">
        <v>0</v>
      </c>
      <c r="S31" s="14">
        <v>1532</v>
      </c>
      <c r="T31" s="14">
        <v>21697</v>
      </c>
    </row>
    <row r="32" spans="1:20" ht="18">
      <c r="A32" s="10" t="s">
        <v>20</v>
      </c>
      <c r="B32" s="11" t="s">
        <v>21</v>
      </c>
      <c r="C32" s="12">
        <v>45873</v>
      </c>
      <c r="D32" s="13">
        <v>1</v>
      </c>
      <c r="E32" s="14">
        <v>-1592</v>
      </c>
      <c r="F32" s="15" t="s">
        <v>25</v>
      </c>
      <c r="G32" s="13">
        <v>150</v>
      </c>
      <c r="H32" s="13">
        <v>0</v>
      </c>
      <c r="I32" s="13">
        <v>1</v>
      </c>
      <c r="J32" s="13">
        <v>0</v>
      </c>
      <c r="K32" s="13">
        <v>1</v>
      </c>
      <c r="L32" s="13">
        <v>0</v>
      </c>
      <c r="M32" s="13">
        <v>0</v>
      </c>
      <c r="N32" s="21">
        <v>170</v>
      </c>
      <c r="O32" s="22">
        <v>160</v>
      </c>
      <c r="P32" s="40">
        <v>0.59855324074074079</v>
      </c>
      <c r="Q32" s="40">
        <v>0.60847222222222219</v>
      </c>
      <c r="R32" s="14">
        <v>0</v>
      </c>
      <c r="S32" s="14">
        <v>1592</v>
      </c>
      <c r="T32" s="14">
        <v>25500</v>
      </c>
    </row>
    <row r="33" spans="1:20" ht="18">
      <c r="A33" s="27" t="s">
        <v>35</v>
      </c>
      <c r="B33" s="28" t="s">
        <v>21</v>
      </c>
      <c r="C33" s="29">
        <v>45873</v>
      </c>
      <c r="D33" s="30">
        <v>3</v>
      </c>
      <c r="E33" s="31">
        <f>SUM(E30:E32)</f>
        <v>-4708</v>
      </c>
      <c r="F33" s="37" t="s">
        <v>25</v>
      </c>
      <c r="G33" s="30">
        <v>450</v>
      </c>
      <c r="H33" s="30">
        <v>0</v>
      </c>
      <c r="I33" s="30">
        <v>3</v>
      </c>
      <c r="J33" s="30">
        <v>0</v>
      </c>
      <c r="K33" s="30">
        <v>2</v>
      </c>
      <c r="L33" s="30">
        <v>0</v>
      </c>
      <c r="M33" s="30">
        <v>1</v>
      </c>
      <c r="N33" s="31" t="s">
        <v>36</v>
      </c>
      <c r="O33" s="31" t="s">
        <v>36</v>
      </c>
      <c r="P33" s="33" t="s">
        <v>36</v>
      </c>
      <c r="Q33" s="33" t="s">
        <v>36</v>
      </c>
      <c r="R33" s="31">
        <v>0</v>
      </c>
      <c r="S33" s="31">
        <v>4708</v>
      </c>
      <c r="T33" s="31">
        <f>SUM(T30:T32)</f>
        <v>68647</v>
      </c>
    </row>
    <row r="34" spans="1:20" ht="18">
      <c r="A34" s="10" t="s">
        <v>20</v>
      </c>
      <c r="B34" s="11" t="s">
        <v>40</v>
      </c>
      <c r="C34" s="12">
        <v>45874</v>
      </c>
      <c r="D34" s="13">
        <v>1</v>
      </c>
      <c r="E34" s="14">
        <v>2944</v>
      </c>
      <c r="F34" s="15" t="s">
        <v>25</v>
      </c>
      <c r="G34" s="13">
        <v>150</v>
      </c>
      <c r="H34" s="13">
        <v>1</v>
      </c>
      <c r="I34" s="13">
        <v>0</v>
      </c>
      <c r="J34" s="13">
        <v>0</v>
      </c>
      <c r="K34" s="13">
        <v>0</v>
      </c>
      <c r="L34" s="13">
        <v>1</v>
      </c>
      <c r="M34" s="13">
        <v>0</v>
      </c>
      <c r="N34" s="21">
        <v>149.35</v>
      </c>
      <c r="O34" s="22">
        <v>169.6</v>
      </c>
      <c r="P34" s="40">
        <v>0.50782407407407404</v>
      </c>
      <c r="Q34" s="40">
        <v>0.55061342592592588</v>
      </c>
      <c r="R34" s="14">
        <v>2944</v>
      </c>
      <c r="S34" s="14">
        <v>1500</v>
      </c>
      <c r="T34" s="14">
        <v>22402</v>
      </c>
    </row>
    <row r="35" spans="1:20" s="39" customFormat="1" ht="18">
      <c r="A35" s="27" t="s">
        <v>35</v>
      </c>
      <c r="B35" s="28" t="s">
        <v>40</v>
      </c>
      <c r="C35" s="29">
        <v>45874</v>
      </c>
      <c r="D35" s="30">
        <v>1</v>
      </c>
      <c r="E35" s="31">
        <v>2944</v>
      </c>
      <c r="F35" s="37" t="s">
        <v>25</v>
      </c>
      <c r="G35" s="30">
        <v>150</v>
      </c>
      <c r="H35" s="30">
        <v>1</v>
      </c>
      <c r="I35" s="30">
        <v>0</v>
      </c>
      <c r="J35" s="30">
        <v>0</v>
      </c>
      <c r="K35" s="30">
        <v>0</v>
      </c>
      <c r="L35" s="30">
        <v>1</v>
      </c>
      <c r="M35" s="30">
        <v>0</v>
      </c>
      <c r="N35" s="31" t="s">
        <v>36</v>
      </c>
      <c r="O35" s="31" t="s">
        <v>36</v>
      </c>
      <c r="P35" s="33" t="s">
        <v>36</v>
      </c>
      <c r="Q35" s="33" t="s">
        <v>36</v>
      </c>
      <c r="R35" s="31">
        <v>2944</v>
      </c>
      <c r="S35" s="31">
        <v>1500</v>
      </c>
      <c r="T35" s="31">
        <v>22402</v>
      </c>
    </row>
    <row r="36" spans="1:20" ht="18">
      <c r="A36" s="10" t="s">
        <v>20</v>
      </c>
      <c r="B36" s="11" t="s">
        <v>43</v>
      </c>
      <c r="C36" s="12">
        <v>45875</v>
      </c>
      <c r="D36" s="13">
        <v>1</v>
      </c>
      <c r="E36" s="14">
        <v>-1536</v>
      </c>
      <c r="F36" s="15" t="s">
        <v>25</v>
      </c>
      <c r="G36" s="13">
        <v>150</v>
      </c>
      <c r="H36" s="13">
        <v>0</v>
      </c>
      <c r="I36" s="13">
        <v>1</v>
      </c>
      <c r="J36" s="13">
        <v>0</v>
      </c>
      <c r="K36" s="13">
        <v>0</v>
      </c>
      <c r="L36" s="13">
        <v>0</v>
      </c>
      <c r="M36" s="13">
        <v>1</v>
      </c>
      <c r="N36" s="21">
        <v>156.65</v>
      </c>
      <c r="O36" s="22">
        <v>147</v>
      </c>
      <c r="P36" s="40">
        <v>0.45533564814814814</v>
      </c>
      <c r="Q36" s="40">
        <v>0.48508101851851854</v>
      </c>
      <c r="R36" s="14">
        <v>0</v>
      </c>
      <c r="S36" s="14">
        <v>1536</v>
      </c>
      <c r="T36" s="14">
        <v>23497</v>
      </c>
    </row>
    <row r="37" spans="1:20" ht="18">
      <c r="A37" s="10" t="s">
        <v>20</v>
      </c>
      <c r="B37" s="11" t="s">
        <v>43</v>
      </c>
      <c r="C37" s="12">
        <v>45875</v>
      </c>
      <c r="D37" s="13">
        <v>1</v>
      </c>
      <c r="E37" s="14">
        <v>-2312</v>
      </c>
      <c r="F37" s="15" t="s">
        <v>25</v>
      </c>
      <c r="G37" s="13">
        <v>225</v>
      </c>
      <c r="H37" s="13">
        <v>0</v>
      </c>
      <c r="I37" s="13">
        <v>1</v>
      </c>
      <c r="J37" s="13">
        <v>0</v>
      </c>
      <c r="K37" s="13">
        <v>0</v>
      </c>
      <c r="L37" s="13">
        <v>0</v>
      </c>
      <c r="M37" s="13">
        <v>1</v>
      </c>
      <c r="N37" s="21">
        <v>151.80000000000001</v>
      </c>
      <c r="O37" s="22">
        <v>142</v>
      </c>
      <c r="P37" s="40">
        <v>0.4861226851851852</v>
      </c>
      <c r="Q37" s="40">
        <v>0.49194444444444446</v>
      </c>
      <c r="R37" s="14">
        <v>0</v>
      </c>
      <c r="S37" s="14">
        <v>2312</v>
      </c>
      <c r="T37" s="14">
        <v>34155</v>
      </c>
    </row>
    <row r="38" spans="1:20" ht="18">
      <c r="A38" s="10" t="s">
        <v>20</v>
      </c>
      <c r="B38" s="11" t="s">
        <v>43</v>
      </c>
      <c r="C38" s="12">
        <v>45875</v>
      </c>
      <c r="D38" s="13">
        <v>1</v>
      </c>
      <c r="E38" s="14">
        <v>-5034</v>
      </c>
      <c r="F38" s="15" t="s">
        <v>22</v>
      </c>
      <c r="G38" s="13">
        <v>375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1</v>
      </c>
      <c r="N38" s="21">
        <v>144.44999999999999</v>
      </c>
      <c r="O38" s="22">
        <v>131.4</v>
      </c>
      <c r="P38" s="40">
        <v>0.49267361111111113</v>
      </c>
      <c r="Q38" s="40">
        <v>0.50263888888888886</v>
      </c>
      <c r="R38" s="14">
        <v>0</v>
      </c>
      <c r="S38" s="14">
        <v>5034</v>
      </c>
      <c r="T38" s="14">
        <v>54168</v>
      </c>
    </row>
    <row r="39" spans="1:20" ht="18">
      <c r="A39" s="10" t="s">
        <v>20</v>
      </c>
      <c r="B39" s="11" t="s">
        <v>43</v>
      </c>
      <c r="C39" s="12">
        <v>45875</v>
      </c>
      <c r="D39" s="13">
        <v>1</v>
      </c>
      <c r="E39" s="14">
        <v>-7106</v>
      </c>
      <c r="F39" s="15" t="s">
        <v>22</v>
      </c>
      <c r="G39" s="13">
        <v>750</v>
      </c>
      <c r="H39" s="13">
        <v>0</v>
      </c>
      <c r="I39" s="13">
        <v>1</v>
      </c>
      <c r="J39" s="13">
        <v>0</v>
      </c>
      <c r="K39" s="13">
        <v>1</v>
      </c>
      <c r="L39" s="13">
        <v>0</v>
      </c>
      <c r="M39" s="13">
        <v>0</v>
      </c>
      <c r="N39" s="21">
        <v>148.15</v>
      </c>
      <c r="O39" s="22">
        <v>139</v>
      </c>
      <c r="P39" s="40">
        <v>0.52702546296296293</v>
      </c>
      <c r="Q39" s="40">
        <v>0.53557870370370375</v>
      </c>
      <c r="R39" s="14">
        <v>0</v>
      </c>
      <c r="S39" s="14">
        <v>7106</v>
      </c>
      <c r="T39" s="14">
        <v>111112</v>
      </c>
    </row>
    <row r="40" spans="1:20" ht="18">
      <c r="A40" s="10" t="s">
        <v>20</v>
      </c>
      <c r="B40" s="11" t="s">
        <v>43</v>
      </c>
      <c r="C40" s="12">
        <v>45875</v>
      </c>
      <c r="D40" s="13">
        <v>1</v>
      </c>
      <c r="E40" s="14">
        <v>-7251</v>
      </c>
      <c r="F40" s="15" t="s">
        <v>22</v>
      </c>
      <c r="G40" s="13">
        <v>750</v>
      </c>
      <c r="H40" s="13">
        <v>0</v>
      </c>
      <c r="I40" s="13">
        <v>1</v>
      </c>
      <c r="J40" s="13">
        <v>0</v>
      </c>
      <c r="K40" s="13">
        <v>0</v>
      </c>
      <c r="L40" s="13">
        <v>0</v>
      </c>
      <c r="M40" s="13">
        <v>1</v>
      </c>
      <c r="N40" s="21">
        <v>171.3</v>
      </c>
      <c r="O40" s="22">
        <v>162</v>
      </c>
      <c r="P40" s="40">
        <v>0.53636574074074073</v>
      </c>
      <c r="Q40" s="40">
        <v>0.53972222222222221</v>
      </c>
      <c r="R40" s="14">
        <v>0</v>
      </c>
      <c r="S40" s="14">
        <v>7251</v>
      </c>
      <c r="T40" s="14">
        <v>128475</v>
      </c>
    </row>
    <row r="41" spans="1:20" ht="18">
      <c r="A41" s="10" t="s">
        <v>20</v>
      </c>
      <c r="B41" s="11" t="s">
        <v>43</v>
      </c>
      <c r="C41" s="12">
        <v>45875</v>
      </c>
      <c r="D41" s="13">
        <v>1</v>
      </c>
      <c r="E41" s="14">
        <v>-7237</v>
      </c>
      <c r="F41" s="15" t="s">
        <v>22</v>
      </c>
      <c r="G41" s="13">
        <v>750</v>
      </c>
      <c r="H41" s="13">
        <v>0</v>
      </c>
      <c r="I41" s="13">
        <v>1</v>
      </c>
      <c r="J41" s="13">
        <v>0</v>
      </c>
      <c r="K41" s="13">
        <v>0</v>
      </c>
      <c r="L41" s="13">
        <v>0</v>
      </c>
      <c r="M41" s="13">
        <v>1</v>
      </c>
      <c r="N41" s="21">
        <v>161.30000000000001</v>
      </c>
      <c r="O41" s="22">
        <v>152</v>
      </c>
      <c r="P41" s="40">
        <v>0.54074074074074074</v>
      </c>
      <c r="Q41" s="40">
        <v>0.54383101851851856</v>
      </c>
      <c r="R41" s="14">
        <v>0</v>
      </c>
      <c r="S41" s="14">
        <v>7237</v>
      </c>
      <c r="T41" s="14">
        <v>120975</v>
      </c>
    </row>
    <row r="42" spans="1:20" s="39" customFormat="1" ht="18">
      <c r="A42" s="10" t="s">
        <v>20</v>
      </c>
      <c r="B42" s="11" t="s">
        <v>43</v>
      </c>
      <c r="C42" s="12">
        <v>45875</v>
      </c>
      <c r="D42" s="13">
        <v>1</v>
      </c>
      <c r="E42" s="14">
        <v>37226</v>
      </c>
      <c r="F42" s="15" t="s">
        <v>22</v>
      </c>
      <c r="G42" s="13">
        <v>750</v>
      </c>
      <c r="H42" s="13">
        <v>1</v>
      </c>
      <c r="I42" s="13">
        <v>0</v>
      </c>
      <c r="J42" s="13">
        <v>0</v>
      </c>
      <c r="K42" s="13">
        <v>0</v>
      </c>
      <c r="L42" s="13">
        <v>1</v>
      </c>
      <c r="M42" s="13">
        <v>0</v>
      </c>
      <c r="N42" s="21">
        <v>150.94999999999999</v>
      </c>
      <c r="O42" s="22">
        <v>201</v>
      </c>
      <c r="P42" s="40">
        <v>0.5448263888888889</v>
      </c>
      <c r="Q42" s="40">
        <v>0.60858796296296291</v>
      </c>
      <c r="R42" s="14">
        <v>37226</v>
      </c>
      <c r="S42" s="14">
        <v>7500</v>
      </c>
      <c r="T42" s="14">
        <v>113212</v>
      </c>
    </row>
    <row r="43" spans="1:20" ht="18">
      <c r="A43" s="27" t="s">
        <v>35</v>
      </c>
      <c r="B43" s="28" t="s">
        <v>43</v>
      </c>
      <c r="C43" s="29">
        <v>45875</v>
      </c>
      <c r="D43" s="30">
        <v>7</v>
      </c>
      <c r="E43" s="31">
        <f>SUM(E36:E42)</f>
        <v>6750</v>
      </c>
      <c r="F43" s="38" t="s">
        <v>22</v>
      </c>
      <c r="G43" s="30">
        <f>SUM(G36:G42)</f>
        <v>3750</v>
      </c>
      <c r="H43" s="30">
        <v>1</v>
      </c>
      <c r="I43" s="30">
        <v>6</v>
      </c>
      <c r="J43" s="30">
        <v>0</v>
      </c>
      <c r="K43" s="30">
        <v>0</v>
      </c>
      <c r="L43" s="30">
        <v>1</v>
      </c>
      <c r="M43" s="30">
        <v>5</v>
      </c>
      <c r="N43" s="31" t="s">
        <v>36</v>
      </c>
      <c r="O43" s="31" t="s">
        <v>36</v>
      </c>
      <c r="P43" s="33" t="s">
        <v>36</v>
      </c>
      <c r="Q43" s="33" t="s">
        <v>36</v>
      </c>
      <c r="R43" s="31">
        <v>37226</v>
      </c>
      <c r="S43" s="31">
        <f>SUM(S36:S42)</f>
        <v>37976</v>
      </c>
      <c r="T43" s="31">
        <f>SUM(T36:T42)</f>
        <v>585594</v>
      </c>
    </row>
    <row r="44" spans="1:20" ht="18">
      <c r="A44" s="10" t="s">
        <v>20</v>
      </c>
      <c r="B44" s="11" t="s">
        <v>44</v>
      </c>
      <c r="C44" s="12">
        <v>45876</v>
      </c>
      <c r="D44" s="13">
        <v>1</v>
      </c>
      <c r="E44" s="14">
        <v>3036</v>
      </c>
      <c r="F44" s="15" t="s">
        <v>25</v>
      </c>
      <c r="G44" s="13">
        <v>150</v>
      </c>
      <c r="H44" s="13">
        <v>1</v>
      </c>
      <c r="I44" s="13">
        <v>0</v>
      </c>
      <c r="J44" s="13">
        <v>0</v>
      </c>
      <c r="K44" s="13">
        <v>0</v>
      </c>
      <c r="L44" s="13">
        <v>1</v>
      </c>
      <c r="M44" s="13">
        <v>0</v>
      </c>
      <c r="N44" s="21">
        <v>168</v>
      </c>
      <c r="O44" s="22">
        <v>188.9</v>
      </c>
      <c r="P44" s="40">
        <v>0.43329861111111112</v>
      </c>
      <c r="Q44" s="40">
        <v>0.4365162037037037</v>
      </c>
      <c r="R44" s="14">
        <v>3036</v>
      </c>
      <c r="S44" s="14">
        <v>1500</v>
      </c>
      <c r="T44" s="14">
        <v>25200</v>
      </c>
    </row>
    <row r="45" spans="1:20" ht="18">
      <c r="A45" s="10" t="s">
        <v>20</v>
      </c>
      <c r="B45" s="11" t="s">
        <v>44</v>
      </c>
      <c r="C45" s="12">
        <v>45876</v>
      </c>
      <c r="D45" s="13">
        <v>1</v>
      </c>
      <c r="E45" s="14">
        <v>-1510</v>
      </c>
      <c r="F45" s="15" t="s">
        <v>25</v>
      </c>
      <c r="G45" s="13">
        <v>150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1</v>
      </c>
      <c r="N45" s="21">
        <v>172.45</v>
      </c>
      <c r="O45" s="22">
        <v>163</v>
      </c>
      <c r="P45" s="40">
        <v>0.52322916666666663</v>
      </c>
      <c r="Q45" s="40">
        <v>0.52549768518518514</v>
      </c>
      <c r="R45" s="14">
        <v>0</v>
      </c>
      <c r="S45" s="14">
        <v>1510</v>
      </c>
      <c r="T45" s="14">
        <v>25867</v>
      </c>
    </row>
    <row r="46" spans="1:20" s="39" customFormat="1" ht="18">
      <c r="A46" s="10" t="s">
        <v>20</v>
      </c>
      <c r="B46" s="11" t="s">
        <v>44</v>
      </c>
      <c r="C46" s="12">
        <v>45876</v>
      </c>
      <c r="D46" s="13">
        <v>1</v>
      </c>
      <c r="E46" s="14">
        <v>3216</v>
      </c>
      <c r="F46" s="15" t="s">
        <v>25</v>
      </c>
      <c r="G46" s="13">
        <v>150</v>
      </c>
      <c r="H46" s="13">
        <v>1</v>
      </c>
      <c r="I46" s="13">
        <v>0</v>
      </c>
      <c r="J46" s="13">
        <v>0</v>
      </c>
      <c r="K46" s="13">
        <v>0</v>
      </c>
      <c r="L46" s="13">
        <v>1</v>
      </c>
      <c r="M46" s="13">
        <v>0</v>
      </c>
      <c r="N46" s="21">
        <v>167.9</v>
      </c>
      <c r="O46" s="22">
        <v>190</v>
      </c>
      <c r="P46" s="40">
        <v>0.52942129629629631</v>
      </c>
      <c r="Q46" s="40">
        <v>0.54734953703703704</v>
      </c>
      <c r="R46" s="14">
        <v>3216</v>
      </c>
      <c r="S46" s="14">
        <v>1500</v>
      </c>
      <c r="T46" s="14">
        <v>25185</v>
      </c>
    </row>
    <row r="47" spans="1:20" ht="18">
      <c r="A47" s="27" t="s">
        <v>35</v>
      </c>
      <c r="B47" s="28" t="s">
        <v>44</v>
      </c>
      <c r="C47" s="29">
        <v>45876</v>
      </c>
      <c r="D47" s="30">
        <v>3</v>
      </c>
      <c r="E47" s="31">
        <v>4741</v>
      </c>
      <c r="F47" s="37" t="s">
        <v>25</v>
      </c>
      <c r="G47" s="30">
        <v>450</v>
      </c>
      <c r="H47" s="30">
        <v>2</v>
      </c>
      <c r="I47" s="30">
        <v>1</v>
      </c>
      <c r="J47" s="30">
        <v>0</v>
      </c>
      <c r="K47" s="30">
        <v>0</v>
      </c>
      <c r="L47" s="30">
        <v>2</v>
      </c>
      <c r="M47" s="30">
        <v>1</v>
      </c>
      <c r="N47" s="31" t="s">
        <v>36</v>
      </c>
      <c r="O47" s="31" t="s">
        <v>36</v>
      </c>
      <c r="P47" s="33" t="s">
        <v>36</v>
      </c>
      <c r="Q47" s="33" t="s">
        <v>36</v>
      </c>
      <c r="R47" s="31">
        <f>SUM(R44:R46)</f>
        <v>6252</v>
      </c>
      <c r="S47" s="31">
        <f>SUM(S44:S46)</f>
        <v>4510</v>
      </c>
      <c r="T47" s="31">
        <f>SUM(T44:T46)</f>
        <v>76252</v>
      </c>
    </row>
    <row r="48" spans="1:20" s="39" customFormat="1" ht="18">
      <c r="A48" s="10" t="s">
        <v>20</v>
      </c>
      <c r="B48" s="11" t="s">
        <v>45</v>
      </c>
      <c r="C48" s="12">
        <v>45877</v>
      </c>
      <c r="D48" s="13">
        <v>1</v>
      </c>
      <c r="E48" s="14">
        <v>-1585</v>
      </c>
      <c r="F48" s="15" t="s">
        <v>25</v>
      </c>
      <c r="G48" s="13">
        <v>150</v>
      </c>
      <c r="H48" s="13">
        <v>0</v>
      </c>
      <c r="I48" s="13">
        <v>1</v>
      </c>
      <c r="J48" s="13">
        <v>0</v>
      </c>
      <c r="K48" s="13">
        <v>0</v>
      </c>
      <c r="L48" s="13">
        <v>0</v>
      </c>
      <c r="M48" s="13">
        <v>1</v>
      </c>
      <c r="N48" s="21">
        <v>144</v>
      </c>
      <c r="O48" s="22">
        <v>134</v>
      </c>
      <c r="P48" s="40">
        <v>0.50293981481481487</v>
      </c>
      <c r="Q48" s="40">
        <v>0.50462962962962965</v>
      </c>
      <c r="R48" s="14">
        <v>0</v>
      </c>
      <c r="S48" s="14">
        <v>1585</v>
      </c>
      <c r="T48" s="14">
        <v>21600</v>
      </c>
    </row>
    <row r="49" spans="1:20" ht="18">
      <c r="A49" s="10" t="s">
        <v>20</v>
      </c>
      <c r="B49" s="11" t="s">
        <v>45</v>
      </c>
      <c r="C49" s="12">
        <v>45877</v>
      </c>
      <c r="D49" s="13">
        <v>1</v>
      </c>
      <c r="E49" s="14">
        <v>-1484</v>
      </c>
      <c r="F49" s="15" t="s">
        <v>25</v>
      </c>
      <c r="G49" s="13">
        <v>150</v>
      </c>
      <c r="H49" s="13">
        <v>0</v>
      </c>
      <c r="I49" s="13">
        <v>1</v>
      </c>
      <c r="J49" s="13">
        <v>0</v>
      </c>
      <c r="K49" s="13">
        <v>0</v>
      </c>
      <c r="L49" s="13">
        <v>0</v>
      </c>
      <c r="M49" s="13">
        <v>1</v>
      </c>
      <c r="N49" s="21">
        <v>159.25</v>
      </c>
      <c r="O49" s="22">
        <v>149.94999999999999</v>
      </c>
      <c r="P49" s="40">
        <v>0.50533564814814813</v>
      </c>
      <c r="Q49" s="40">
        <v>0.51928240740740739</v>
      </c>
      <c r="R49" s="14">
        <v>0</v>
      </c>
      <c r="S49" s="14">
        <v>1484</v>
      </c>
      <c r="T49" s="14">
        <v>23887</v>
      </c>
    </row>
    <row r="50" spans="1:20" ht="18">
      <c r="A50" s="10" t="s">
        <v>20</v>
      </c>
      <c r="B50" s="11" t="s">
        <v>45</v>
      </c>
      <c r="C50" s="12">
        <v>45877</v>
      </c>
      <c r="D50" s="13">
        <v>1</v>
      </c>
      <c r="E50" s="14">
        <v>-1616</v>
      </c>
      <c r="F50" s="15" t="s">
        <v>25</v>
      </c>
      <c r="G50" s="13">
        <v>150</v>
      </c>
      <c r="H50" s="13">
        <v>0</v>
      </c>
      <c r="I50" s="13">
        <v>1</v>
      </c>
      <c r="J50" s="13">
        <v>0</v>
      </c>
      <c r="K50" s="13">
        <v>0</v>
      </c>
      <c r="L50" s="13">
        <v>0</v>
      </c>
      <c r="M50" s="13">
        <v>1</v>
      </c>
      <c r="N50" s="21">
        <v>150.19999999999999</v>
      </c>
      <c r="O50" s="22">
        <v>140</v>
      </c>
      <c r="P50" s="40">
        <v>0.52383101851851854</v>
      </c>
      <c r="Q50" s="40">
        <v>0.53402777777777777</v>
      </c>
      <c r="R50" s="14">
        <v>0</v>
      </c>
      <c r="S50" s="14">
        <v>1616</v>
      </c>
      <c r="T50" s="14">
        <v>22530</v>
      </c>
    </row>
    <row r="51" spans="1:20" ht="18">
      <c r="A51" s="10" t="s">
        <v>20</v>
      </c>
      <c r="B51" s="11" t="s">
        <v>45</v>
      </c>
      <c r="C51" s="12">
        <v>45877</v>
      </c>
      <c r="D51" s="13">
        <v>1</v>
      </c>
      <c r="E51" s="14">
        <v>-2203</v>
      </c>
      <c r="F51" s="15" t="s">
        <v>22</v>
      </c>
      <c r="G51" s="13">
        <v>150</v>
      </c>
      <c r="H51" s="13">
        <v>0</v>
      </c>
      <c r="I51" s="13">
        <v>1</v>
      </c>
      <c r="J51" s="13">
        <v>0</v>
      </c>
      <c r="K51" s="13">
        <v>0</v>
      </c>
      <c r="L51" s="13">
        <v>0</v>
      </c>
      <c r="M51" s="13">
        <v>1</v>
      </c>
      <c r="N51" s="21">
        <v>159.69999999999999</v>
      </c>
      <c r="O51" s="22">
        <v>145.6</v>
      </c>
      <c r="P51" s="40">
        <v>0.53569444444444447</v>
      </c>
      <c r="Q51" s="40">
        <v>0.53864583333333338</v>
      </c>
      <c r="R51" s="14">
        <v>0</v>
      </c>
      <c r="S51" s="14">
        <v>2203</v>
      </c>
      <c r="T51" s="14">
        <v>23955</v>
      </c>
    </row>
    <row r="52" spans="1:20" ht="18">
      <c r="A52" s="10" t="s">
        <v>20</v>
      </c>
      <c r="B52" s="11" t="s">
        <v>45</v>
      </c>
      <c r="C52" s="12">
        <v>45877</v>
      </c>
      <c r="D52" s="13">
        <v>1</v>
      </c>
      <c r="E52" s="14">
        <v>8692</v>
      </c>
      <c r="F52" s="15" t="s">
        <v>25</v>
      </c>
      <c r="G52" s="13">
        <v>300</v>
      </c>
      <c r="H52" s="13">
        <v>1</v>
      </c>
      <c r="I52" s="13">
        <v>0</v>
      </c>
      <c r="J52" s="13">
        <v>0</v>
      </c>
      <c r="K52" s="13">
        <v>0</v>
      </c>
      <c r="L52" s="13">
        <v>1</v>
      </c>
      <c r="M52" s="13">
        <v>0</v>
      </c>
      <c r="N52" s="21">
        <v>149.1</v>
      </c>
      <c r="O52" s="22">
        <v>178.55</v>
      </c>
      <c r="P52" s="40">
        <v>0.53925925925925922</v>
      </c>
      <c r="Q52" s="40">
        <v>0.54748842592592595</v>
      </c>
      <c r="R52" s="14">
        <v>8692</v>
      </c>
      <c r="S52" s="14">
        <v>3000</v>
      </c>
      <c r="T52" s="14">
        <v>44730</v>
      </c>
    </row>
    <row r="53" spans="1:20" ht="18">
      <c r="A53" s="10" t="s">
        <v>20</v>
      </c>
      <c r="B53" s="11" t="s">
        <v>45</v>
      </c>
      <c r="C53" s="12">
        <v>45877</v>
      </c>
      <c r="D53" s="13">
        <v>1</v>
      </c>
      <c r="E53" s="14">
        <v>2330</v>
      </c>
      <c r="F53" s="15" t="s">
        <v>25</v>
      </c>
      <c r="G53" s="13">
        <v>150</v>
      </c>
      <c r="H53" s="13">
        <v>1</v>
      </c>
      <c r="I53" s="13">
        <v>0</v>
      </c>
      <c r="J53" s="13">
        <v>0</v>
      </c>
      <c r="K53" s="13">
        <v>0</v>
      </c>
      <c r="L53" s="13">
        <v>1</v>
      </c>
      <c r="M53" s="13">
        <v>0</v>
      </c>
      <c r="N53" s="21">
        <v>150.19999999999999</v>
      </c>
      <c r="O53" s="22">
        <v>166.35</v>
      </c>
      <c r="P53" s="40">
        <v>0.58091435185185181</v>
      </c>
      <c r="Q53" s="40">
        <v>0.59228009259259262</v>
      </c>
      <c r="R53" s="14">
        <v>2330</v>
      </c>
      <c r="S53" s="14">
        <v>1500</v>
      </c>
      <c r="T53" s="14">
        <v>22530</v>
      </c>
    </row>
    <row r="54" spans="1:20" ht="18">
      <c r="A54" s="27" t="s">
        <v>35</v>
      </c>
      <c r="B54" s="28" t="s">
        <v>45</v>
      </c>
      <c r="C54" s="29">
        <v>45877</v>
      </c>
      <c r="D54" s="30">
        <v>6</v>
      </c>
      <c r="E54" s="31">
        <v>4130</v>
      </c>
      <c r="F54" s="38" t="s">
        <v>22</v>
      </c>
      <c r="G54" s="30">
        <f>SUM(G48:G53)</f>
        <v>1050</v>
      </c>
      <c r="H54" s="30">
        <v>2</v>
      </c>
      <c r="I54" s="30">
        <v>4</v>
      </c>
      <c r="J54" s="30">
        <v>0</v>
      </c>
      <c r="K54" s="30">
        <v>0</v>
      </c>
      <c r="L54" s="30">
        <v>2</v>
      </c>
      <c r="M54" s="30">
        <v>4</v>
      </c>
      <c r="N54" s="31" t="s">
        <v>36</v>
      </c>
      <c r="O54" s="31" t="s">
        <v>36</v>
      </c>
      <c r="P54" s="33" t="s">
        <v>36</v>
      </c>
      <c r="Q54" s="33" t="s">
        <v>36</v>
      </c>
      <c r="R54" s="31">
        <f>SUM(R52:R53)</f>
        <v>11022</v>
      </c>
      <c r="S54" s="31">
        <f>SUM(S48:S53)</f>
        <v>11388</v>
      </c>
      <c r="T54" s="31">
        <f>SUM(T48:T53)</f>
        <v>159232</v>
      </c>
    </row>
    <row r="55" spans="1:20" ht="18">
      <c r="A55" s="10" t="s">
        <v>20</v>
      </c>
      <c r="B55" s="11" t="s">
        <v>21</v>
      </c>
      <c r="C55" s="12">
        <v>45880</v>
      </c>
      <c r="D55" s="13">
        <v>1</v>
      </c>
      <c r="E55" s="14">
        <v>-1600</v>
      </c>
      <c r="F55" s="15" t="s">
        <v>25</v>
      </c>
      <c r="G55" s="13">
        <v>150</v>
      </c>
      <c r="H55" s="13">
        <v>0</v>
      </c>
      <c r="I55" s="13">
        <v>1</v>
      </c>
      <c r="J55" s="13">
        <v>0</v>
      </c>
      <c r="K55" s="13">
        <v>0</v>
      </c>
      <c r="L55" s="13">
        <v>0</v>
      </c>
      <c r="M55" s="13">
        <v>1</v>
      </c>
      <c r="N55" s="21">
        <v>168.05</v>
      </c>
      <c r="O55" s="22">
        <v>158</v>
      </c>
      <c r="P55" s="40">
        <v>0.38914351851851853</v>
      </c>
      <c r="Q55" s="40">
        <v>0.39081018518518518</v>
      </c>
      <c r="R55" s="14">
        <v>0</v>
      </c>
      <c r="S55" s="14">
        <v>1600</v>
      </c>
      <c r="T55" s="14">
        <v>25207</v>
      </c>
    </row>
    <row r="56" spans="1:20" s="39" customFormat="1" ht="18">
      <c r="A56" s="10" t="s">
        <v>20</v>
      </c>
      <c r="B56" s="11" t="s">
        <v>21</v>
      </c>
      <c r="C56" s="12">
        <v>45880</v>
      </c>
      <c r="D56" s="13">
        <v>1</v>
      </c>
      <c r="E56" s="14">
        <v>-1590</v>
      </c>
      <c r="F56" s="15" t="s">
        <v>25</v>
      </c>
      <c r="G56" s="13">
        <v>150</v>
      </c>
      <c r="H56" s="13">
        <v>0</v>
      </c>
      <c r="I56" s="13">
        <v>1</v>
      </c>
      <c r="J56" s="13">
        <v>0</v>
      </c>
      <c r="K56" s="13">
        <v>0</v>
      </c>
      <c r="L56" s="13">
        <v>0</v>
      </c>
      <c r="M56" s="13">
        <v>1</v>
      </c>
      <c r="N56" s="21">
        <v>162.6</v>
      </c>
      <c r="O56" s="22">
        <v>152.6</v>
      </c>
      <c r="P56" s="40">
        <v>0.39215277777777779</v>
      </c>
      <c r="Q56" s="40">
        <v>0.39295138888888886</v>
      </c>
      <c r="R56" s="14">
        <v>0</v>
      </c>
      <c r="S56" s="14">
        <v>1590</v>
      </c>
      <c r="T56" s="14">
        <v>24390</v>
      </c>
    </row>
    <row r="57" spans="1:20" ht="18">
      <c r="A57" s="10" t="s">
        <v>20</v>
      </c>
      <c r="B57" s="11" t="s">
        <v>21</v>
      </c>
      <c r="C57" s="12">
        <v>45880</v>
      </c>
      <c r="D57" s="13">
        <v>1</v>
      </c>
      <c r="E57" s="14">
        <v>-1595</v>
      </c>
      <c r="F57" s="15" t="s">
        <v>25</v>
      </c>
      <c r="G57" s="13">
        <v>150</v>
      </c>
      <c r="H57" s="13">
        <v>0</v>
      </c>
      <c r="I57" s="13">
        <v>1</v>
      </c>
      <c r="J57" s="13">
        <v>0</v>
      </c>
      <c r="K57" s="13">
        <v>0</v>
      </c>
      <c r="L57" s="13">
        <v>0</v>
      </c>
      <c r="M57" s="13">
        <v>1</v>
      </c>
      <c r="N57" s="21">
        <v>182.2</v>
      </c>
      <c r="O57" s="22">
        <v>172.2</v>
      </c>
      <c r="P57" s="40">
        <v>0.39412037037037034</v>
      </c>
      <c r="Q57" s="40">
        <v>0.42719907407407409</v>
      </c>
      <c r="R57" s="14">
        <v>0</v>
      </c>
      <c r="S57" s="14">
        <v>1595</v>
      </c>
      <c r="T57" s="14">
        <v>27330</v>
      </c>
    </row>
    <row r="58" spans="1:20" ht="18">
      <c r="A58" s="10" t="s">
        <v>20</v>
      </c>
      <c r="B58" s="11" t="s">
        <v>21</v>
      </c>
      <c r="C58" s="12">
        <v>45880</v>
      </c>
      <c r="D58" s="13">
        <v>1</v>
      </c>
      <c r="E58" s="14">
        <v>-1596</v>
      </c>
      <c r="F58" s="15" t="s">
        <v>25</v>
      </c>
      <c r="G58" s="13">
        <v>150</v>
      </c>
      <c r="H58" s="13">
        <v>0</v>
      </c>
      <c r="I58" s="13">
        <v>1</v>
      </c>
      <c r="J58" s="13">
        <v>0</v>
      </c>
      <c r="K58" s="13">
        <v>1</v>
      </c>
      <c r="L58" s="13">
        <v>0</v>
      </c>
      <c r="M58" s="13">
        <v>0</v>
      </c>
      <c r="N58" s="21">
        <v>186</v>
      </c>
      <c r="O58" s="22">
        <v>176</v>
      </c>
      <c r="P58" s="40">
        <v>0.42986111111111114</v>
      </c>
      <c r="Q58" s="40">
        <v>0.43130787037037038</v>
      </c>
      <c r="R58" s="14">
        <v>0</v>
      </c>
      <c r="S58" s="14">
        <v>1596</v>
      </c>
      <c r="T58" s="14">
        <v>27900</v>
      </c>
    </row>
    <row r="59" spans="1:20" ht="18">
      <c r="A59" s="10" t="s">
        <v>20</v>
      </c>
      <c r="B59" s="11" t="s">
        <v>21</v>
      </c>
      <c r="C59" s="12">
        <v>45880</v>
      </c>
      <c r="D59" s="13">
        <v>1</v>
      </c>
      <c r="E59" s="14">
        <v>-1596</v>
      </c>
      <c r="F59" s="15" t="s">
        <v>25</v>
      </c>
      <c r="G59" s="13">
        <v>150</v>
      </c>
      <c r="H59" s="13">
        <v>0</v>
      </c>
      <c r="I59" s="13">
        <v>1</v>
      </c>
      <c r="J59" s="13">
        <v>0</v>
      </c>
      <c r="K59" s="13">
        <v>0</v>
      </c>
      <c r="L59" s="13">
        <v>0</v>
      </c>
      <c r="M59" s="13">
        <v>1</v>
      </c>
      <c r="N59" s="21">
        <v>183.6</v>
      </c>
      <c r="O59" s="22">
        <v>173.6</v>
      </c>
      <c r="P59" s="40">
        <v>0.43182870370370369</v>
      </c>
      <c r="Q59" s="40">
        <v>0.4332523148148148</v>
      </c>
      <c r="R59" s="14">
        <v>0</v>
      </c>
      <c r="S59" s="14">
        <v>1596</v>
      </c>
      <c r="T59" s="14">
        <v>27540</v>
      </c>
    </row>
    <row r="60" spans="1:20" s="39" customFormat="1" ht="18">
      <c r="A60" s="10" t="s">
        <v>20</v>
      </c>
      <c r="B60" s="11" t="s">
        <v>21</v>
      </c>
      <c r="C60" s="12">
        <v>45880</v>
      </c>
      <c r="D60" s="13">
        <v>1</v>
      </c>
      <c r="E60" s="14">
        <v>-3356</v>
      </c>
      <c r="F60" s="15" t="s">
        <v>25</v>
      </c>
      <c r="G60" s="13">
        <v>375</v>
      </c>
      <c r="H60" s="13">
        <v>0</v>
      </c>
      <c r="I60" s="13">
        <v>1</v>
      </c>
      <c r="J60" s="13">
        <v>0</v>
      </c>
      <c r="K60" s="13">
        <v>1</v>
      </c>
      <c r="L60" s="13">
        <v>0</v>
      </c>
      <c r="M60" s="13">
        <v>0</v>
      </c>
      <c r="N60" s="21">
        <v>186.5</v>
      </c>
      <c r="O60" s="22">
        <v>178</v>
      </c>
      <c r="P60" s="40">
        <v>0.4337152777777778</v>
      </c>
      <c r="Q60" s="40">
        <v>0.46708333333333335</v>
      </c>
      <c r="R60" s="14">
        <v>0</v>
      </c>
      <c r="S60" s="14">
        <v>3356</v>
      </c>
      <c r="T60" s="14">
        <v>64106</v>
      </c>
    </row>
    <row r="61" spans="1:20" ht="18">
      <c r="A61" s="10" t="s">
        <v>20</v>
      </c>
      <c r="B61" s="11" t="s">
        <v>21</v>
      </c>
      <c r="C61" s="12">
        <v>45880</v>
      </c>
      <c r="D61" s="13">
        <v>1</v>
      </c>
      <c r="E61" s="14">
        <v>19633</v>
      </c>
      <c r="F61" s="15" t="s">
        <v>22</v>
      </c>
      <c r="G61" s="13">
        <v>750</v>
      </c>
      <c r="H61" s="13">
        <v>1</v>
      </c>
      <c r="I61" s="13">
        <v>0</v>
      </c>
      <c r="J61" s="13">
        <v>1</v>
      </c>
      <c r="K61" s="13">
        <v>0</v>
      </c>
      <c r="L61" s="13">
        <v>0</v>
      </c>
      <c r="M61" s="13">
        <v>0</v>
      </c>
      <c r="N61" s="21">
        <v>146.4</v>
      </c>
      <c r="O61" s="22">
        <v>172.95</v>
      </c>
      <c r="P61" s="40">
        <v>0.46790509259259261</v>
      </c>
      <c r="Q61" s="40">
        <v>0.47515046296296298</v>
      </c>
      <c r="R61" s="14">
        <v>16933</v>
      </c>
      <c r="S61" s="14">
        <v>7500</v>
      </c>
      <c r="T61" s="14">
        <v>109800</v>
      </c>
    </row>
    <row r="62" spans="1:20" ht="18">
      <c r="A62" s="27" t="s">
        <v>35</v>
      </c>
      <c r="B62" s="28" t="s">
        <v>21</v>
      </c>
      <c r="C62" s="29">
        <v>45880</v>
      </c>
      <c r="D62" s="30">
        <v>7</v>
      </c>
      <c r="E62" s="31">
        <f>SUM(E55:E61)</f>
        <v>8300</v>
      </c>
      <c r="F62" s="38" t="s">
        <v>22</v>
      </c>
      <c r="G62" s="30">
        <f>SUM(G55:G61)</f>
        <v>1875</v>
      </c>
      <c r="H62" s="30">
        <v>1</v>
      </c>
      <c r="I62" s="30">
        <v>6</v>
      </c>
      <c r="J62" s="30">
        <v>1</v>
      </c>
      <c r="K62" s="30">
        <v>2</v>
      </c>
      <c r="L62" s="30">
        <v>0</v>
      </c>
      <c r="M62" s="30">
        <v>4</v>
      </c>
      <c r="N62" s="31" t="s">
        <v>36</v>
      </c>
      <c r="O62" s="31" t="s">
        <v>36</v>
      </c>
      <c r="P62" s="33" t="s">
        <v>36</v>
      </c>
      <c r="Q62" s="33" t="s">
        <v>36</v>
      </c>
      <c r="R62" s="31">
        <v>16933</v>
      </c>
      <c r="S62" s="31">
        <f>SUM(S55:S61)</f>
        <v>18833</v>
      </c>
      <c r="T62" s="31">
        <f>SUM(T55:T61)</f>
        <v>306273</v>
      </c>
    </row>
    <row r="63" spans="1:20" ht="18">
      <c r="A63" s="10" t="s">
        <v>20</v>
      </c>
      <c r="B63" s="11" t="s">
        <v>40</v>
      </c>
      <c r="C63" s="12">
        <v>45881</v>
      </c>
      <c r="D63" s="13">
        <v>1</v>
      </c>
      <c r="E63" s="14">
        <v>-1585</v>
      </c>
      <c r="F63" s="15" t="s">
        <v>25</v>
      </c>
      <c r="G63" s="13">
        <v>150</v>
      </c>
      <c r="H63" s="13">
        <v>0</v>
      </c>
      <c r="I63" s="13">
        <v>1</v>
      </c>
      <c r="J63" s="13">
        <v>0</v>
      </c>
      <c r="K63" s="13">
        <v>0</v>
      </c>
      <c r="L63" s="13">
        <v>0</v>
      </c>
      <c r="M63" s="13">
        <v>1</v>
      </c>
      <c r="N63" s="21">
        <v>173.45</v>
      </c>
      <c r="O63" s="22">
        <v>163.5</v>
      </c>
      <c r="P63" s="40">
        <v>0.59342592592592591</v>
      </c>
      <c r="Q63" s="40">
        <v>0.60152777777777777</v>
      </c>
      <c r="R63" s="14">
        <v>0</v>
      </c>
      <c r="S63" s="14">
        <v>1585</v>
      </c>
      <c r="T63" s="14">
        <v>26017</v>
      </c>
    </row>
    <row r="64" spans="1:20" ht="18">
      <c r="A64" s="10" t="s">
        <v>20</v>
      </c>
      <c r="B64" s="11" t="s">
        <v>40</v>
      </c>
      <c r="C64" s="12">
        <v>45881</v>
      </c>
      <c r="D64" s="13">
        <v>1</v>
      </c>
      <c r="E64" s="14">
        <v>3178</v>
      </c>
      <c r="F64" s="15" t="s">
        <v>25</v>
      </c>
      <c r="G64" s="13">
        <v>150</v>
      </c>
      <c r="H64" s="13">
        <v>1</v>
      </c>
      <c r="I64" s="13">
        <v>0</v>
      </c>
      <c r="J64" s="13">
        <v>0</v>
      </c>
      <c r="K64" s="13">
        <v>0</v>
      </c>
      <c r="L64" s="13">
        <v>1</v>
      </c>
      <c r="M64" s="13">
        <v>0</v>
      </c>
      <c r="N64" s="21">
        <v>169.55</v>
      </c>
      <c r="O64" s="22">
        <v>191.4</v>
      </c>
      <c r="P64" s="40">
        <v>0.60193287037037035</v>
      </c>
      <c r="Q64" s="40">
        <v>0.61243055555555559</v>
      </c>
      <c r="R64" s="14">
        <v>3178</v>
      </c>
      <c r="S64" s="14">
        <v>1500</v>
      </c>
      <c r="T64" s="14">
        <v>25432</v>
      </c>
    </row>
    <row r="65" spans="1:20" ht="18">
      <c r="A65" s="27" t="s">
        <v>35</v>
      </c>
      <c r="B65" s="28" t="s">
        <v>40</v>
      </c>
      <c r="C65" s="29">
        <v>45881</v>
      </c>
      <c r="D65" s="30">
        <v>2</v>
      </c>
      <c r="E65" s="31">
        <f>SUM(E63:E64)</f>
        <v>1593</v>
      </c>
      <c r="F65" s="38" t="s">
        <v>25</v>
      </c>
      <c r="G65" s="30">
        <v>300</v>
      </c>
      <c r="H65" s="30">
        <v>1</v>
      </c>
      <c r="I65" s="30">
        <v>1</v>
      </c>
      <c r="J65" s="30">
        <v>0</v>
      </c>
      <c r="K65" s="30">
        <v>0</v>
      </c>
      <c r="L65" s="30">
        <v>1</v>
      </c>
      <c r="M65" s="30">
        <v>1</v>
      </c>
      <c r="N65" s="31" t="s">
        <v>36</v>
      </c>
      <c r="O65" s="31" t="s">
        <v>36</v>
      </c>
      <c r="P65" s="33" t="s">
        <v>36</v>
      </c>
      <c r="Q65" s="33" t="s">
        <v>36</v>
      </c>
      <c r="R65" s="31">
        <v>3178</v>
      </c>
      <c r="S65" s="31">
        <f>SUM(S63:S64)</f>
        <v>3085</v>
      </c>
      <c r="T65" s="31">
        <f>SUM(T63:T64)</f>
        <v>51449</v>
      </c>
    </row>
    <row r="66" spans="1:20" ht="18">
      <c r="A66" s="10" t="s">
        <v>20</v>
      </c>
      <c r="B66" s="11" t="s">
        <v>43</v>
      </c>
      <c r="C66" s="12">
        <v>45882</v>
      </c>
      <c r="D66" s="13">
        <v>1</v>
      </c>
      <c r="E66" s="14">
        <v>3193</v>
      </c>
      <c r="F66" s="15" t="s">
        <v>25</v>
      </c>
      <c r="G66" s="13">
        <v>150</v>
      </c>
      <c r="H66" s="13">
        <v>1</v>
      </c>
      <c r="I66" s="13">
        <v>0</v>
      </c>
      <c r="J66" s="13">
        <v>1</v>
      </c>
      <c r="K66" s="13">
        <v>0</v>
      </c>
      <c r="L66" s="13">
        <v>0</v>
      </c>
      <c r="M66" s="13">
        <v>0</v>
      </c>
      <c r="N66" s="21">
        <v>196.8</v>
      </c>
      <c r="O66" s="22">
        <v>218.8</v>
      </c>
      <c r="P66" s="40">
        <v>0.50232638888888892</v>
      </c>
      <c r="Q66" s="40">
        <v>0.5145601851851852</v>
      </c>
      <c r="R66" s="14">
        <v>3193</v>
      </c>
      <c r="S66" s="14">
        <v>1500</v>
      </c>
      <c r="T66" s="14">
        <v>29520</v>
      </c>
    </row>
    <row r="67" spans="1:20" s="39" customFormat="1" ht="18">
      <c r="A67" s="27" t="s">
        <v>35</v>
      </c>
      <c r="B67" s="28" t="s">
        <v>43</v>
      </c>
      <c r="C67" s="29">
        <v>45882</v>
      </c>
      <c r="D67" s="30">
        <v>1</v>
      </c>
      <c r="E67" s="31">
        <v>3193</v>
      </c>
      <c r="F67" s="38" t="s">
        <v>25</v>
      </c>
      <c r="G67" s="30">
        <v>150</v>
      </c>
      <c r="H67" s="30">
        <v>1</v>
      </c>
      <c r="I67" s="30">
        <v>0</v>
      </c>
      <c r="J67" s="30">
        <v>1</v>
      </c>
      <c r="K67" s="30">
        <v>0</v>
      </c>
      <c r="L67" s="30">
        <v>0</v>
      </c>
      <c r="M67" s="30">
        <v>0</v>
      </c>
      <c r="N67" s="31" t="s">
        <v>36</v>
      </c>
      <c r="O67" s="31" t="s">
        <v>36</v>
      </c>
      <c r="P67" s="33" t="s">
        <v>36</v>
      </c>
      <c r="Q67" s="33" t="s">
        <v>36</v>
      </c>
      <c r="R67" s="31">
        <v>3193</v>
      </c>
      <c r="S67" s="31">
        <v>1500</v>
      </c>
      <c r="T67" s="31">
        <v>29520</v>
      </c>
    </row>
    <row r="68" spans="1:20" ht="18">
      <c r="A68" s="10" t="s">
        <v>20</v>
      </c>
      <c r="B68" s="11" t="s">
        <v>44</v>
      </c>
      <c r="C68" s="12">
        <v>45883</v>
      </c>
      <c r="D68" s="13">
        <v>1</v>
      </c>
      <c r="E68" s="14">
        <v>-1600</v>
      </c>
      <c r="F68" s="15" t="s">
        <v>25</v>
      </c>
      <c r="G68" s="13">
        <v>150</v>
      </c>
      <c r="H68" s="13">
        <v>0</v>
      </c>
      <c r="I68" s="13">
        <v>1</v>
      </c>
      <c r="J68" s="13">
        <v>0</v>
      </c>
      <c r="K68" s="13">
        <v>0</v>
      </c>
      <c r="L68" s="13">
        <v>0</v>
      </c>
      <c r="M68" s="13">
        <v>1</v>
      </c>
      <c r="N68" s="21">
        <v>171.95</v>
      </c>
      <c r="O68" s="22">
        <v>161.9</v>
      </c>
      <c r="P68" s="40">
        <v>0.50814814814814813</v>
      </c>
      <c r="Q68" s="40">
        <v>0.51877314814814812</v>
      </c>
      <c r="R68" s="14">
        <v>0</v>
      </c>
      <c r="S68" s="14">
        <v>1600</v>
      </c>
      <c r="T68" s="14">
        <v>25792</v>
      </c>
    </row>
    <row r="69" spans="1:20" ht="18">
      <c r="A69" s="10" t="s">
        <v>20</v>
      </c>
      <c r="B69" s="11" t="s">
        <v>44</v>
      </c>
      <c r="C69" s="12">
        <v>45883</v>
      </c>
      <c r="D69" s="13">
        <v>1</v>
      </c>
      <c r="E69" s="14">
        <v>-1590</v>
      </c>
      <c r="F69" s="15" t="s">
        <v>25</v>
      </c>
      <c r="G69" s="13">
        <v>150</v>
      </c>
      <c r="H69" s="13">
        <v>0</v>
      </c>
      <c r="I69" s="13">
        <v>1</v>
      </c>
      <c r="J69" s="13">
        <v>0</v>
      </c>
      <c r="K69" s="13">
        <v>0</v>
      </c>
      <c r="L69" s="13">
        <v>0</v>
      </c>
      <c r="M69" s="13">
        <v>1</v>
      </c>
      <c r="N69" s="21">
        <v>162.85</v>
      </c>
      <c r="O69" s="22">
        <v>152.85</v>
      </c>
      <c r="P69" s="40">
        <v>0.53077546296296296</v>
      </c>
      <c r="Q69" s="40">
        <v>0.53857638888888892</v>
      </c>
      <c r="R69" s="14">
        <v>0</v>
      </c>
      <c r="S69" s="14">
        <v>1590</v>
      </c>
      <c r="T69" s="14">
        <v>24427</v>
      </c>
    </row>
    <row r="70" spans="1:20" ht="18">
      <c r="A70" s="10" t="s">
        <v>20</v>
      </c>
      <c r="B70" s="11" t="s">
        <v>44</v>
      </c>
      <c r="C70" s="12">
        <v>45883</v>
      </c>
      <c r="D70" s="13">
        <v>1</v>
      </c>
      <c r="E70" s="14">
        <v>-1589</v>
      </c>
      <c r="F70" s="15" t="s">
        <v>25</v>
      </c>
      <c r="G70" s="13">
        <v>150</v>
      </c>
      <c r="H70" s="13">
        <v>0</v>
      </c>
      <c r="I70" s="13">
        <v>1</v>
      </c>
      <c r="J70" s="13">
        <v>0</v>
      </c>
      <c r="K70" s="13">
        <v>1</v>
      </c>
      <c r="L70" s="13">
        <v>0</v>
      </c>
      <c r="M70" s="13">
        <v>0</v>
      </c>
      <c r="N70" s="21">
        <v>159.65</v>
      </c>
      <c r="O70" s="22">
        <v>149.65</v>
      </c>
      <c r="P70" s="40">
        <v>0.53922453703703699</v>
      </c>
      <c r="Q70" s="40">
        <v>0.55531249999999999</v>
      </c>
      <c r="R70" s="14">
        <v>0</v>
      </c>
      <c r="S70" s="14">
        <v>1589</v>
      </c>
      <c r="T70" s="14">
        <v>23947</v>
      </c>
    </row>
    <row r="71" spans="1:20" ht="18">
      <c r="A71" s="10" t="s">
        <v>20</v>
      </c>
      <c r="B71" s="11" t="s">
        <v>44</v>
      </c>
      <c r="C71" s="12">
        <v>45883</v>
      </c>
      <c r="D71" s="13">
        <v>1</v>
      </c>
      <c r="E71" s="14">
        <v>-690</v>
      </c>
      <c r="F71" s="15" t="s">
        <v>25</v>
      </c>
      <c r="G71" s="13">
        <v>150</v>
      </c>
      <c r="H71" s="13">
        <v>0</v>
      </c>
      <c r="I71" s="13">
        <v>1</v>
      </c>
      <c r="J71" s="13">
        <v>0</v>
      </c>
      <c r="K71" s="13">
        <v>0</v>
      </c>
      <c r="L71" s="13">
        <v>0</v>
      </c>
      <c r="M71" s="13">
        <v>1</v>
      </c>
      <c r="N71" s="21">
        <v>158.75</v>
      </c>
      <c r="O71" s="22">
        <v>154.75</v>
      </c>
      <c r="P71" s="40">
        <v>0.55678240740740736</v>
      </c>
      <c r="Q71" s="40">
        <v>0.56958333333333333</v>
      </c>
      <c r="R71" s="14">
        <v>0</v>
      </c>
      <c r="S71" s="14">
        <v>690</v>
      </c>
      <c r="T71" s="14">
        <v>23812</v>
      </c>
    </row>
    <row r="72" spans="1:20" ht="18">
      <c r="A72" s="10" t="s">
        <v>20</v>
      </c>
      <c r="B72" s="11" t="s">
        <v>44</v>
      </c>
      <c r="C72" s="12">
        <v>45883</v>
      </c>
      <c r="D72" s="13">
        <v>1</v>
      </c>
      <c r="E72" s="14">
        <v>-2376</v>
      </c>
      <c r="F72" s="15" t="s">
        <v>25</v>
      </c>
      <c r="G72" s="13">
        <v>225</v>
      </c>
      <c r="H72" s="13">
        <v>0</v>
      </c>
      <c r="I72" s="13">
        <v>1</v>
      </c>
      <c r="J72" s="13">
        <v>0</v>
      </c>
      <c r="K72" s="13">
        <v>1</v>
      </c>
      <c r="L72" s="13">
        <v>0</v>
      </c>
      <c r="M72" s="13">
        <v>0</v>
      </c>
      <c r="N72" s="21">
        <v>196.25</v>
      </c>
      <c r="O72" s="22">
        <v>186.25</v>
      </c>
      <c r="P72" s="40">
        <v>0.57018518518518524</v>
      </c>
      <c r="Q72" s="40">
        <v>0.58704861111111106</v>
      </c>
      <c r="R72" s="14">
        <v>0</v>
      </c>
      <c r="S72" s="14">
        <v>2376</v>
      </c>
      <c r="T72" s="14">
        <v>44156</v>
      </c>
    </row>
    <row r="73" spans="1:20" ht="18">
      <c r="A73" s="10" t="s">
        <v>20</v>
      </c>
      <c r="B73" s="11" t="s">
        <v>44</v>
      </c>
      <c r="C73" s="12">
        <v>45883</v>
      </c>
      <c r="D73" s="13">
        <v>1</v>
      </c>
      <c r="E73" s="14">
        <v>-3859</v>
      </c>
      <c r="F73" s="15" t="s">
        <v>25</v>
      </c>
      <c r="G73" s="13">
        <v>375</v>
      </c>
      <c r="H73" s="13">
        <v>0</v>
      </c>
      <c r="I73" s="13">
        <v>1</v>
      </c>
      <c r="J73" s="13">
        <v>0</v>
      </c>
      <c r="K73" s="13">
        <v>1</v>
      </c>
      <c r="L73" s="13">
        <v>0</v>
      </c>
      <c r="M73" s="13">
        <v>0</v>
      </c>
      <c r="N73" s="21">
        <v>97.65</v>
      </c>
      <c r="O73" s="22">
        <v>87.65</v>
      </c>
      <c r="P73" s="40">
        <v>0.59040509259259255</v>
      </c>
      <c r="Q73" s="40">
        <v>0.59450231481481486</v>
      </c>
      <c r="R73" s="14">
        <v>0</v>
      </c>
      <c r="S73" s="14">
        <v>3859</v>
      </c>
      <c r="T73" s="14">
        <v>36618</v>
      </c>
    </row>
    <row r="74" spans="1:20" ht="18">
      <c r="A74" s="10" t="s">
        <v>20</v>
      </c>
      <c r="B74" s="11" t="s">
        <v>44</v>
      </c>
      <c r="C74" s="12">
        <v>45883</v>
      </c>
      <c r="D74" s="13">
        <v>1</v>
      </c>
      <c r="E74" s="14">
        <v>-2538</v>
      </c>
      <c r="F74" s="15" t="s">
        <v>25</v>
      </c>
      <c r="G74" s="13">
        <v>375</v>
      </c>
      <c r="H74" s="13">
        <v>0</v>
      </c>
      <c r="I74" s="13">
        <v>1</v>
      </c>
      <c r="J74" s="13">
        <v>0</v>
      </c>
      <c r="K74" s="13">
        <v>0</v>
      </c>
      <c r="L74" s="13">
        <v>0</v>
      </c>
      <c r="M74" s="13">
        <v>1</v>
      </c>
      <c r="N74" s="21">
        <v>136</v>
      </c>
      <c r="O74" s="22">
        <v>129.6</v>
      </c>
      <c r="P74" s="40">
        <v>0.59622685185185187</v>
      </c>
      <c r="Q74" s="40">
        <v>0.60662037037037042</v>
      </c>
      <c r="R74" s="14">
        <v>0</v>
      </c>
      <c r="S74" s="14">
        <v>2538</v>
      </c>
      <c r="T74" s="14">
        <v>51000</v>
      </c>
    </row>
    <row r="75" spans="1:20" s="39" customFormat="1" ht="18">
      <c r="A75" s="10" t="s">
        <v>20</v>
      </c>
      <c r="B75" s="11" t="s">
        <v>44</v>
      </c>
      <c r="C75" s="12">
        <v>45883</v>
      </c>
      <c r="D75" s="13">
        <v>1</v>
      </c>
      <c r="E75" s="14">
        <v>4273</v>
      </c>
      <c r="F75" s="15" t="s">
        <v>22</v>
      </c>
      <c r="G75" s="13">
        <v>750</v>
      </c>
      <c r="H75" s="13">
        <v>1</v>
      </c>
      <c r="I75" s="13">
        <v>0</v>
      </c>
      <c r="J75" s="13">
        <v>1</v>
      </c>
      <c r="K75" s="13">
        <v>0</v>
      </c>
      <c r="L75" s="13">
        <v>0</v>
      </c>
      <c r="M75" s="13">
        <v>0</v>
      </c>
      <c r="N75" s="21">
        <v>124</v>
      </c>
      <c r="O75" s="22">
        <v>130</v>
      </c>
      <c r="P75" s="40">
        <v>0.60688657407407409</v>
      </c>
      <c r="Q75" s="40">
        <v>0.60991898148148149</v>
      </c>
      <c r="R75" s="14">
        <v>4273</v>
      </c>
      <c r="S75" s="14">
        <v>7500</v>
      </c>
      <c r="T75" s="14">
        <v>93000</v>
      </c>
    </row>
    <row r="76" spans="1:20" ht="18">
      <c r="A76" s="10" t="s">
        <v>20</v>
      </c>
      <c r="B76" s="11" t="s">
        <v>44</v>
      </c>
      <c r="C76" s="12">
        <v>45883</v>
      </c>
      <c r="D76" s="13">
        <v>1</v>
      </c>
      <c r="E76" s="14">
        <v>-11588</v>
      </c>
      <c r="F76" s="15" t="s">
        <v>22</v>
      </c>
      <c r="G76" s="13">
        <v>750</v>
      </c>
      <c r="H76" s="13">
        <v>0</v>
      </c>
      <c r="I76" s="13">
        <v>1</v>
      </c>
      <c r="J76" s="13">
        <v>0</v>
      </c>
      <c r="K76" s="13">
        <v>0</v>
      </c>
      <c r="L76" s="13">
        <v>0</v>
      </c>
      <c r="M76" s="13">
        <v>1</v>
      </c>
      <c r="N76" s="21">
        <v>32.049999999999997</v>
      </c>
      <c r="O76" s="22">
        <v>16.7</v>
      </c>
      <c r="P76" s="40">
        <v>0.61063657407407412</v>
      </c>
      <c r="Q76" s="40">
        <v>0.61540509259259257</v>
      </c>
      <c r="R76" s="14">
        <v>0</v>
      </c>
      <c r="S76" s="14">
        <v>11588</v>
      </c>
      <c r="T76" s="14">
        <v>24037</v>
      </c>
    </row>
    <row r="77" spans="1:20" ht="18">
      <c r="A77" s="10" t="s">
        <v>20</v>
      </c>
      <c r="B77" s="11" t="s">
        <v>44</v>
      </c>
      <c r="C77" s="12">
        <v>45883</v>
      </c>
      <c r="D77" s="13">
        <v>1</v>
      </c>
      <c r="E77" s="14">
        <v>41</v>
      </c>
      <c r="F77" s="15" t="s">
        <v>25</v>
      </c>
      <c r="G77" s="13">
        <v>375</v>
      </c>
      <c r="H77" s="13">
        <v>1</v>
      </c>
      <c r="I77" s="13">
        <v>0</v>
      </c>
      <c r="J77" s="13">
        <v>1</v>
      </c>
      <c r="K77" s="13">
        <v>0</v>
      </c>
      <c r="L77" s="13">
        <v>0</v>
      </c>
      <c r="M77" s="13">
        <v>0</v>
      </c>
      <c r="N77" s="21">
        <v>143.35</v>
      </c>
      <c r="O77" s="22">
        <v>144.1</v>
      </c>
      <c r="P77" s="40">
        <v>0.61851851851851847</v>
      </c>
      <c r="Q77" s="40">
        <v>0.62614583333333329</v>
      </c>
      <c r="R77" s="14">
        <v>41</v>
      </c>
      <c r="S77" s="14">
        <v>3750</v>
      </c>
      <c r="T77" s="14">
        <v>53756</v>
      </c>
    </row>
    <row r="78" spans="1:20" s="39" customFormat="1" ht="18">
      <c r="A78" s="10" t="s">
        <v>20</v>
      </c>
      <c r="B78" s="11" t="s">
        <v>44</v>
      </c>
      <c r="C78" s="12">
        <v>45883</v>
      </c>
      <c r="D78" s="13">
        <v>1</v>
      </c>
      <c r="E78" s="14">
        <v>-1371</v>
      </c>
      <c r="F78" s="15" t="s">
        <v>22</v>
      </c>
      <c r="G78" s="13">
        <v>750</v>
      </c>
      <c r="H78" s="13">
        <v>0</v>
      </c>
      <c r="I78" s="13">
        <v>1</v>
      </c>
      <c r="J78" s="13">
        <v>0</v>
      </c>
      <c r="K78" s="13">
        <v>1</v>
      </c>
      <c r="L78" s="13">
        <v>0</v>
      </c>
      <c r="M78" s="13">
        <v>0</v>
      </c>
      <c r="N78" s="21">
        <v>144.30000000000001</v>
      </c>
      <c r="O78" s="22">
        <v>142.80000000000001</v>
      </c>
      <c r="P78" s="40">
        <v>0.61561342592592594</v>
      </c>
      <c r="Q78" s="40">
        <v>0.62620370370370371</v>
      </c>
      <c r="R78" s="14">
        <v>0</v>
      </c>
      <c r="S78" s="14">
        <v>1371</v>
      </c>
      <c r="T78" s="14">
        <v>108225</v>
      </c>
    </row>
    <row r="79" spans="1:20" ht="18">
      <c r="A79" s="10" t="s">
        <v>20</v>
      </c>
      <c r="B79" s="11" t="s">
        <v>44</v>
      </c>
      <c r="C79" s="12">
        <v>45883</v>
      </c>
      <c r="D79" s="13">
        <v>1</v>
      </c>
      <c r="E79" s="14">
        <v>-8938</v>
      </c>
      <c r="F79" s="15" t="s">
        <v>22</v>
      </c>
      <c r="G79" s="13">
        <v>1125</v>
      </c>
      <c r="H79" s="13">
        <v>0</v>
      </c>
      <c r="I79" s="13">
        <v>1</v>
      </c>
      <c r="J79" s="13">
        <v>0</v>
      </c>
      <c r="K79" s="13">
        <v>1</v>
      </c>
      <c r="L79" s="13">
        <v>0</v>
      </c>
      <c r="M79" s="13">
        <v>0</v>
      </c>
      <c r="N79" s="21">
        <v>142.30000000000001</v>
      </c>
      <c r="O79" s="22">
        <v>134.65</v>
      </c>
      <c r="P79" s="40">
        <v>0.62716435185185182</v>
      </c>
      <c r="Q79" s="40">
        <v>0.62763888888888886</v>
      </c>
      <c r="R79" s="14">
        <v>0</v>
      </c>
      <c r="S79" s="14">
        <v>8938</v>
      </c>
      <c r="T79" s="14">
        <v>160087</v>
      </c>
    </row>
    <row r="80" spans="1:20" s="39" customFormat="1" ht="18">
      <c r="A80" s="10" t="s">
        <v>20</v>
      </c>
      <c r="B80" s="11" t="s">
        <v>44</v>
      </c>
      <c r="C80" s="12">
        <v>45883</v>
      </c>
      <c r="D80" s="13">
        <v>1</v>
      </c>
      <c r="E80" s="14">
        <v>3379</v>
      </c>
      <c r="F80" s="15" t="s">
        <v>22</v>
      </c>
      <c r="G80" s="13">
        <v>1125</v>
      </c>
      <c r="H80" s="13">
        <v>1</v>
      </c>
      <c r="I80" s="13">
        <v>0</v>
      </c>
      <c r="J80" s="13">
        <v>0</v>
      </c>
      <c r="K80" s="13">
        <v>0</v>
      </c>
      <c r="L80" s="13">
        <v>1</v>
      </c>
      <c r="M80" s="13">
        <v>0</v>
      </c>
      <c r="N80" s="21">
        <v>161.15</v>
      </c>
      <c r="O80" s="22">
        <v>164.5</v>
      </c>
      <c r="P80" s="40">
        <v>0.62799768518518517</v>
      </c>
      <c r="Q80" s="40">
        <v>0.63092592592592589</v>
      </c>
      <c r="R80" s="14">
        <v>3379</v>
      </c>
      <c r="S80" s="14">
        <v>11250</v>
      </c>
      <c r="T80" s="14">
        <v>181293</v>
      </c>
    </row>
    <row r="81" spans="1:20" ht="18">
      <c r="A81" s="27" t="s">
        <v>35</v>
      </c>
      <c r="B81" s="28" t="s">
        <v>44</v>
      </c>
      <c r="C81" s="29">
        <v>45883</v>
      </c>
      <c r="D81" s="30">
        <f>SUM(D68:D80)</f>
        <v>13</v>
      </c>
      <c r="E81" s="31">
        <f>SUM(E68:E80)</f>
        <v>-28446</v>
      </c>
      <c r="F81" s="38" t="s">
        <v>22</v>
      </c>
      <c r="G81" s="30">
        <f>SUM(G68:G80)</f>
        <v>6450</v>
      </c>
      <c r="H81" s="30">
        <f>SUM(H68:H80)</f>
        <v>3</v>
      </c>
      <c r="I81" s="30">
        <f>SUM(I68:I80)</f>
        <v>10</v>
      </c>
      <c r="J81" s="30">
        <v>2</v>
      </c>
      <c r="K81" s="30">
        <v>5</v>
      </c>
      <c r="L81" s="30">
        <v>1</v>
      </c>
      <c r="M81" s="30">
        <v>5</v>
      </c>
      <c r="N81" s="31" t="s">
        <v>36</v>
      </c>
      <c r="O81" s="31" t="s">
        <v>36</v>
      </c>
      <c r="P81" s="33" t="s">
        <v>36</v>
      </c>
      <c r="Q81" s="33" t="s">
        <v>36</v>
      </c>
      <c r="R81" s="31">
        <f>SUM(R68:R80)</f>
        <v>7693</v>
      </c>
      <c r="S81" s="31">
        <f>SUM(S68:S80)</f>
        <v>58639</v>
      </c>
      <c r="T81" s="31">
        <f>SUM(T68:T80)</f>
        <v>850150</v>
      </c>
    </row>
    <row r="82" spans="1:20" ht="18">
      <c r="A82" s="10" t="s">
        <v>20</v>
      </c>
      <c r="B82" s="11" t="s">
        <v>21</v>
      </c>
      <c r="C82" s="12">
        <v>45887</v>
      </c>
      <c r="D82" s="13">
        <v>1</v>
      </c>
      <c r="E82" s="14">
        <v>3211</v>
      </c>
      <c r="F82" s="15" t="s">
        <v>25</v>
      </c>
      <c r="G82" s="13">
        <v>150</v>
      </c>
      <c r="H82" s="13">
        <v>1</v>
      </c>
      <c r="I82" s="13">
        <v>0</v>
      </c>
      <c r="J82" s="13">
        <v>0</v>
      </c>
      <c r="K82" s="13">
        <v>0</v>
      </c>
      <c r="L82" s="13">
        <v>1</v>
      </c>
      <c r="M82" s="13">
        <v>0</v>
      </c>
      <c r="N82" s="21">
        <v>131.1</v>
      </c>
      <c r="O82" s="22">
        <v>153.1</v>
      </c>
      <c r="P82" s="40">
        <v>0.49350694444444443</v>
      </c>
      <c r="Q82" s="40">
        <v>0.50578703703703709</v>
      </c>
      <c r="R82" s="14">
        <v>3211</v>
      </c>
      <c r="S82" s="14">
        <v>1500</v>
      </c>
      <c r="T82" s="14">
        <v>19665</v>
      </c>
    </row>
    <row r="83" spans="1:20" ht="18">
      <c r="A83" s="10" t="s">
        <v>20</v>
      </c>
      <c r="B83" s="11" t="s">
        <v>21</v>
      </c>
      <c r="C83" s="12">
        <v>45887</v>
      </c>
      <c r="D83" s="13">
        <v>1</v>
      </c>
      <c r="E83" s="14">
        <v>2578</v>
      </c>
      <c r="F83" s="15" t="s">
        <v>25</v>
      </c>
      <c r="G83" s="13">
        <v>150</v>
      </c>
      <c r="H83" s="13">
        <v>1</v>
      </c>
      <c r="I83" s="13">
        <v>0</v>
      </c>
      <c r="J83" s="13">
        <v>1</v>
      </c>
      <c r="K83" s="13">
        <v>0</v>
      </c>
      <c r="L83" s="13">
        <v>0</v>
      </c>
      <c r="M83" s="13">
        <v>0</v>
      </c>
      <c r="N83" s="21">
        <v>117.1</v>
      </c>
      <c r="O83" s="22">
        <v>134.85</v>
      </c>
      <c r="P83" s="40">
        <v>0.5105439814814815</v>
      </c>
      <c r="Q83" s="40">
        <v>0.51949074074074075</v>
      </c>
      <c r="R83" s="14">
        <v>2578</v>
      </c>
      <c r="S83" s="14">
        <v>1500</v>
      </c>
      <c r="T83" s="14">
        <v>17565</v>
      </c>
    </row>
    <row r="84" spans="1:20" ht="18">
      <c r="A84" s="27" t="s">
        <v>35</v>
      </c>
      <c r="B84" s="28" t="s">
        <v>21</v>
      </c>
      <c r="C84" s="29">
        <v>45887</v>
      </c>
      <c r="D84" s="30">
        <v>2</v>
      </c>
      <c r="E84" s="31">
        <f>SUM(E82:E83)</f>
        <v>5789</v>
      </c>
      <c r="F84" s="38" t="s">
        <v>25</v>
      </c>
      <c r="G84" s="30">
        <v>300</v>
      </c>
      <c r="H84" s="30">
        <v>2</v>
      </c>
      <c r="I84" s="30">
        <v>0</v>
      </c>
      <c r="J84" s="30">
        <v>1</v>
      </c>
      <c r="K84" s="30">
        <v>0</v>
      </c>
      <c r="L84" s="30">
        <v>1</v>
      </c>
      <c r="M84" s="30">
        <v>0</v>
      </c>
      <c r="N84" s="31" t="s">
        <v>36</v>
      </c>
      <c r="O84" s="31" t="s">
        <v>36</v>
      </c>
      <c r="P84" s="33" t="s">
        <v>36</v>
      </c>
      <c r="Q84" s="33" t="s">
        <v>36</v>
      </c>
      <c r="R84" s="31">
        <f>SUM(R82:R83)</f>
        <v>5789</v>
      </c>
      <c r="S84" s="31">
        <v>3000</v>
      </c>
      <c r="T84" s="31">
        <f>SUM(T82:T83)</f>
        <v>37230</v>
      </c>
    </row>
    <row r="85" spans="1:20" ht="18">
      <c r="A85" s="10" t="s">
        <v>20</v>
      </c>
      <c r="B85" s="11" t="s">
        <v>40</v>
      </c>
      <c r="C85" s="12">
        <v>45888</v>
      </c>
      <c r="D85" s="13">
        <v>1</v>
      </c>
      <c r="E85" s="14">
        <v>-1580</v>
      </c>
      <c r="F85" s="15" t="s">
        <v>25</v>
      </c>
      <c r="G85" s="13">
        <v>150</v>
      </c>
      <c r="H85" s="13">
        <v>0</v>
      </c>
      <c r="I85" s="13">
        <v>1</v>
      </c>
      <c r="J85" s="13">
        <v>0</v>
      </c>
      <c r="K85" s="13">
        <v>0</v>
      </c>
      <c r="L85" s="13">
        <v>0</v>
      </c>
      <c r="M85" s="13">
        <v>1</v>
      </c>
      <c r="N85" s="21">
        <v>127.35</v>
      </c>
      <c r="O85" s="22">
        <v>117.35</v>
      </c>
      <c r="P85" s="40">
        <v>0.48813657407407407</v>
      </c>
      <c r="Q85" s="40">
        <v>0.50872685185185185</v>
      </c>
      <c r="R85" s="14">
        <v>0</v>
      </c>
      <c r="S85" s="14">
        <v>1580</v>
      </c>
      <c r="T85" s="14">
        <v>19102</v>
      </c>
    </row>
    <row r="86" spans="1:20" ht="18">
      <c r="A86" s="10" t="s">
        <v>20</v>
      </c>
      <c r="B86" s="11" t="s">
        <v>40</v>
      </c>
      <c r="C86" s="12">
        <v>45888</v>
      </c>
      <c r="D86" s="13">
        <v>1</v>
      </c>
      <c r="E86" s="14">
        <v>-2354</v>
      </c>
      <c r="F86" s="15" t="s">
        <v>25</v>
      </c>
      <c r="G86" s="13">
        <v>225</v>
      </c>
      <c r="H86" s="13">
        <v>0</v>
      </c>
      <c r="I86" s="13">
        <v>1</v>
      </c>
      <c r="J86" s="13">
        <v>0</v>
      </c>
      <c r="K86" s="13">
        <v>0</v>
      </c>
      <c r="L86" s="13">
        <v>0</v>
      </c>
      <c r="M86" s="13">
        <v>1</v>
      </c>
      <c r="N86" s="21">
        <v>144.80000000000001</v>
      </c>
      <c r="O86" s="22">
        <v>134.80000000000001</v>
      </c>
      <c r="P86" s="40">
        <v>0.51206018518518515</v>
      </c>
      <c r="Q86" s="40">
        <v>0.5142592592592593</v>
      </c>
      <c r="R86" s="14">
        <v>0</v>
      </c>
      <c r="S86" s="14">
        <v>2354</v>
      </c>
      <c r="T86" s="14">
        <v>32580</v>
      </c>
    </row>
    <row r="87" spans="1:20" ht="18">
      <c r="A87" s="10" t="s">
        <v>20</v>
      </c>
      <c r="B87" s="11" t="s">
        <v>40</v>
      </c>
      <c r="C87" s="12">
        <v>45888</v>
      </c>
      <c r="D87" s="13">
        <v>1</v>
      </c>
      <c r="E87" s="14">
        <v>4975</v>
      </c>
      <c r="F87" s="15" t="s">
        <v>25</v>
      </c>
      <c r="G87" s="13">
        <v>225</v>
      </c>
      <c r="H87" s="13">
        <v>1</v>
      </c>
      <c r="I87" s="13">
        <v>0</v>
      </c>
      <c r="J87" s="13">
        <v>0</v>
      </c>
      <c r="K87" s="13">
        <v>0</v>
      </c>
      <c r="L87" s="13">
        <v>1</v>
      </c>
      <c r="M87" s="13">
        <v>0</v>
      </c>
      <c r="N87" s="21">
        <v>132.35</v>
      </c>
      <c r="O87" s="22">
        <v>154.94999999999999</v>
      </c>
      <c r="P87" s="40">
        <v>0.51564814814814819</v>
      </c>
      <c r="Q87" s="40">
        <v>0.56967592592592597</v>
      </c>
      <c r="R87" s="14">
        <v>4975</v>
      </c>
      <c r="S87" s="14">
        <v>2250</v>
      </c>
      <c r="T87" s="14">
        <v>29778</v>
      </c>
    </row>
    <row r="88" spans="1:20" ht="18">
      <c r="A88" s="27" t="s">
        <v>35</v>
      </c>
      <c r="B88" s="28" t="s">
        <v>40</v>
      </c>
      <c r="C88" s="29">
        <v>45888</v>
      </c>
      <c r="D88" s="30">
        <v>3</v>
      </c>
      <c r="E88" s="31">
        <f>SUM(E85:E87)</f>
        <v>1041</v>
      </c>
      <c r="F88" s="38" t="s">
        <v>25</v>
      </c>
      <c r="G88" s="30">
        <f>SUM(G85:G87)</f>
        <v>600</v>
      </c>
      <c r="H88" s="30">
        <v>1</v>
      </c>
      <c r="I88" s="30">
        <v>2</v>
      </c>
      <c r="J88" s="30">
        <v>0</v>
      </c>
      <c r="K88" s="30">
        <v>0</v>
      </c>
      <c r="L88" s="30">
        <v>1</v>
      </c>
      <c r="M88" s="30">
        <v>2</v>
      </c>
      <c r="N88" s="31" t="s">
        <v>36</v>
      </c>
      <c r="O88" s="31" t="s">
        <v>36</v>
      </c>
      <c r="P88" s="33" t="s">
        <v>36</v>
      </c>
      <c r="Q88" s="33" t="s">
        <v>36</v>
      </c>
      <c r="R88" s="31">
        <v>4975</v>
      </c>
      <c r="S88" s="31">
        <f>SUM(S85:S87)</f>
        <v>6184</v>
      </c>
      <c r="T88" s="31">
        <f>SUM(T85:T87)</f>
        <v>81460</v>
      </c>
    </row>
    <row r="89" spans="1:20" ht="18">
      <c r="A89" s="10" t="s">
        <v>20</v>
      </c>
      <c r="B89" s="11" t="s">
        <v>43</v>
      </c>
      <c r="C89" s="12">
        <v>45889</v>
      </c>
      <c r="D89" s="13">
        <v>1</v>
      </c>
      <c r="E89" s="14">
        <v>-1592</v>
      </c>
      <c r="F89" s="15" t="s">
        <v>25</v>
      </c>
      <c r="G89" s="13">
        <v>150</v>
      </c>
      <c r="H89" s="13">
        <v>0</v>
      </c>
      <c r="I89" s="13">
        <v>1</v>
      </c>
      <c r="J89" s="13">
        <v>0</v>
      </c>
      <c r="K89" s="13">
        <v>0</v>
      </c>
      <c r="L89" s="13">
        <v>0</v>
      </c>
      <c r="M89" s="13">
        <v>1</v>
      </c>
      <c r="N89" s="21">
        <v>168.95</v>
      </c>
      <c r="O89" s="22">
        <v>158.94999999999999</v>
      </c>
      <c r="P89" s="40">
        <v>0.39959490740740738</v>
      </c>
      <c r="Q89" s="40">
        <v>0.40564814814814815</v>
      </c>
      <c r="R89" s="14">
        <v>0</v>
      </c>
      <c r="S89" s="14">
        <v>1592</v>
      </c>
      <c r="T89" s="14">
        <v>25342</v>
      </c>
    </row>
    <row r="90" spans="1:20" ht="18">
      <c r="A90" s="10" t="s">
        <v>20</v>
      </c>
      <c r="B90" s="11" t="s">
        <v>43</v>
      </c>
      <c r="C90" s="12">
        <v>45889</v>
      </c>
      <c r="D90" s="13">
        <v>1</v>
      </c>
      <c r="E90" s="14">
        <v>-1586</v>
      </c>
      <c r="F90" s="15" t="s">
        <v>25</v>
      </c>
      <c r="G90" s="13">
        <v>150</v>
      </c>
      <c r="H90" s="13">
        <v>0</v>
      </c>
      <c r="I90" s="13">
        <v>1</v>
      </c>
      <c r="J90" s="13">
        <v>0</v>
      </c>
      <c r="K90" s="13">
        <v>1</v>
      </c>
      <c r="L90" s="13">
        <v>0</v>
      </c>
      <c r="M90" s="13">
        <v>0</v>
      </c>
      <c r="N90" s="21">
        <v>149</v>
      </c>
      <c r="O90" s="22">
        <v>139</v>
      </c>
      <c r="P90" s="40">
        <v>0.40763888888888888</v>
      </c>
      <c r="Q90" s="40">
        <v>0.4137615740740741</v>
      </c>
      <c r="R90" s="14">
        <v>0</v>
      </c>
      <c r="S90" s="14">
        <v>1586</v>
      </c>
      <c r="T90" s="14">
        <v>22350</v>
      </c>
    </row>
    <row r="91" spans="1:20" ht="18">
      <c r="A91" s="10" t="s">
        <v>20</v>
      </c>
      <c r="B91" s="11" t="s">
        <v>43</v>
      </c>
      <c r="C91" s="12">
        <v>45889</v>
      </c>
      <c r="D91" s="13">
        <v>1</v>
      </c>
      <c r="E91" s="14">
        <v>-2362</v>
      </c>
      <c r="F91" s="15" t="s">
        <v>25</v>
      </c>
      <c r="G91" s="13">
        <v>225</v>
      </c>
      <c r="H91" s="13">
        <v>0</v>
      </c>
      <c r="I91" s="13">
        <v>1</v>
      </c>
      <c r="J91" s="13">
        <v>0</v>
      </c>
      <c r="K91" s="13">
        <v>0</v>
      </c>
      <c r="L91" s="13">
        <v>0</v>
      </c>
      <c r="M91" s="13">
        <v>1</v>
      </c>
      <c r="N91" s="21">
        <v>164.5</v>
      </c>
      <c r="O91" s="22">
        <v>154.5</v>
      </c>
      <c r="P91" s="40">
        <v>0.41421296296296295</v>
      </c>
      <c r="Q91" s="40">
        <v>0.41568287037037038</v>
      </c>
      <c r="R91" s="14">
        <v>0</v>
      </c>
      <c r="S91" s="14">
        <v>2362</v>
      </c>
      <c r="T91" s="14">
        <v>37012</v>
      </c>
    </row>
    <row r="92" spans="1:20" ht="18">
      <c r="A92" s="10" t="s">
        <v>20</v>
      </c>
      <c r="B92" s="11" t="s">
        <v>43</v>
      </c>
      <c r="C92" s="12">
        <v>45889</v>
      </c>
      <c r="D92" s="13">
        <v>1</v>
      </c>
      <c r="E92" s="14">
        <v>7624</v>
      </c>
      <c r="F92" s="15" t="s">
        <v>25</v>
      </c>
      <c r="G92" s="13">
        <v>225</v>
      </c>
      <c r="H92" s="13">
        <v>1</v>
      </c>
      <c r="I92" s="13">
        <v>0</v>
      </c>
      <c r="J92" s="13">
        <v>1</v>
      </c>
      <c r="K92" s="13">
        <v>0</v>
      </c>
      <c r="L92" s="13">
        <v>0</v>
      </c>
      <c r="M92" s="13">
        <v>0</v>
      </c>
      <c r="N92" s="21">
        <v>192</v>
      </c>
      <c r="O92" s="22">
        <v>226.5</v>
      </c>
      <c r="P92" s="40">
        <v>0.41635416666666669</v>
      </c>
      <c r="Q92" s="40">
        <v>0.4425810185185185</v>
      </c>
      <c r="R92" s="14">
        <v>7624</v>
      </c>
      <c r="S92" s="14">
        <v>2250</v>
      </c>
      <c r="T92" s="14">
        <v>43200</v>
      </c>
    </row>
    <row r="93" spans="1:20" ht="18">
      <c r="A93" s="10" t="s">
        <v>20</v>
      </c>
      <c r="B93" s="11" t="s">
        <v>43</v>
      </c>
      <c r="C93" s="12">
        <v>45889</v>
      </c>
      <c r="D93" s="13">
        <v>1</v>
      </c>
      <c r="E93" s="14">
        <v>-1584</v>
      </c>
      <c r="F93" s="15" t="s">
        <v>25</v>
      </c>
      <c r="G93" s="13">
        <v>150</v>
      </c>
      <c r="H93" s="13">
        <v>0</v>
      </c>
      <c r="I93" s="13">
        <v>1</v>
      </c>
      <c r="J93" s="13">
        <v>0</v>
      </c>
      <c r="K93" s="13">
        <v>1</v>
      </c>
      <c r="L93" s="13">
        <v>0</v>
      </c>
      <c r="M93" s="13">
        <v>0</v>
      </c>
      <c r="N93" s="21">
        <v>141.85</v>
      </c>
      <c r="O93" s="22">
        <v>131.85</v>
      </c>
      <c r="P93" s="40">
        <v>0.45195601851851852</v>
      </c>
      <c r="Q93" s="40">
        <v>0.4536574074074074</v>
      </c>
      <c r="R93" s="14">
        <v>0</v>
      </c>
      <c r="S93" s="14">
        <v>1584</v>
      </c>
      <c r="T93" s="14">
        <v>21277</v>
      </c>
    </row>
    <row r="94" spans="1:20" s="39" customFormat="1" ht="18">
      <c r="A94" s="10" t="s">
        <v>20</v>
      </c>
      <c r="B94" s="11" t="s">
        <v>43</v>
      </c>
      <c r="C94" s="12">
        <v>45889</v>
      </c>
      <c r="D94" s="13">
        <v>1</v>
      </c>
      <c r="E94" s="14">
        <v>-2365</v>
      </c>
      <c r="F94" s="15" t="s">
        <v>25</v>
      </c>
      <c r="G94" s="13">
        <v>225</v>
      </c>
      <c r="H94" s="13">
        <v>0</v>
      </c>
      <c r="I94" s="13">
        <v>1</v>
      </c>
      <c r="J94" s="13">
        <v>0</v>
      </c>
      <c r="K94" s="13">
        <v>1</v>
      </c>
      <c r="L94" s="13">
        <v>0</v>
      </c>
      <c r="M94" s="13">
        <v>0</v>
      </c>
      <c r="N94" s="21">
        <v>171.55</v>
      </c>
      <c r="O94" s="22">
        <v>161.55000000000001</v>
      </c>
      <c r="P94" s="40">
        <v>0.45512731481481483</v>
      </c>
      <c r="Q94" s="40">
        <v>0.45805555555555555</v>
      </c>
      <c r="R94" s="14">
        <v>0</v>
      </c>
      <c r="S94" s="14">
        <v>2365</v>
      </c>
      <c r="T94" s="14">
        <v>38598</v>
      </c>
    </row>
    <row r="95" spans="1:20" ht="18">
      <c r="A95" s="10" t="s">
        <v>20</v>
      </c>
      <c r="B95" s="11" t="s">
        <v>43</v>
      </c>
      <c r="C95" s="12">
        <v>45889</v>
      </c>
      <c r="D95" s="13">
        <v>1</v>
      </c>
      <c r="E95" s="14">
        <v>8613</v>
      </c>
      <c r="F95" s="15" t="s">
        <v>25</v>
      </c>
      <c r="G95" s="13">
        <v>225</v>
      </c>
      <c r="H95" s="13">
        <v>1</v>
      </c>
      <c r="I95" s="13">
        <v>0</v>
      </c>
      <c r="J95" s="13">
        <v>1</v>
      </c>
      <c r="K95" s="13">
        <v>0</v>
      </c>
      <c r="L95" s="13">
        <v>0</v>
      </c>
      <c r="M95" s="13">
        <v>0</v>
      </c>
      <c r="N95" s="21">
        <v>162.65</v>
      </c>
      <c r="O95" s="22">
        <v>201.5</v>
      </c>
      <c r="P95" s="40">
        <v>0.45958333333333334</v>
      </c>
      <c r="Q95" s="40">
        <v>0.46751157407407407</v>
      </c>
      <c r="R95" s="14">
        <v>8613</v>
      </c>
      <c r="S95" s="14">
        <v>2250</v>
      </c>
      <c r="T95" s="14">
        <v>36596</v>
      </c>
    </row>
    <row r="96" spans="1:20" ht="18">
      <c r="A96" s="27" t="s">
        <v>35</v>
      </c>
      <c r="B96" s="28" t="s">
        <v>43</v>
      </c>
      <c r="C96" s="29">
        <v>45889</v>
      </c>
      <c r="D96" s="30">
        <v>7</v>
      </c>
      <c r="E96" s="31">
        <f>SUM(E89:E95)</f>
        <v>6748</v>
      </c>
      <c r="F96" s="38" t="s">
        <v>25</v>
      </c>
      <c r="G96" s="30">
        <f>SUM(G89:G95)</f>
        <v>1350</v>
      </c>
      <c r="H96" s="30">
        <v>2</v>
      </c>
      <c r="I96" s="30">
        <v>5</v>
      </c>
      <c r="J96" s="30">
        <v>2</v>
      </c>
      <c r="K96" s="30">
        <v>3</v>
      </c>
      <c r="L96" s="30">
        <v>0</v>
      </c>
      <c r="M96" s="30">
        <v>2</v>
      </c>
      <c r="N96" s="31" t="s">
        <v>36</v>
      </c>
      <c r="O96" s="31" t="s">
        <v>36</v>
      </c>
      <c r="P96" s="33" t="s">
        <v>36</v>
      </c>
      <c r="Q96" s="33" t="s">
        <v>36</v>
      </c>
      <c r="R96" s="31">
        <f>SUM(R89:R95)</f>
        <v>16237</v>
      </c>
      <c r="S96" s="31">
        <f>SUM(S89:S95)</f>
        <v>13989</v>
      </c>
      <c r="T96" s="31">
        <f>SUM(T89:T95)</f>
        <v>224375</v>
      </c>
    </row>
    <row r="97" spans="1:20" s="39" customFormat="1" ht="18">
      <c r="A97" s="10" t="s">
        <v>20</v>
      </c>
      <c r="B97" s="11" t="s">
        <v>44</v>
      </c>
      <c r="C97" s="12">
        <v>45890</v>
      </c>
      <c r="D97" s="13">
        <v>1</v>
      </c>
      <c r="E97" s="14">
        <v>-1586</v>
      </c>
      <c r="F97" s="15" t="s">
        <v>25</v>
      </c>
      <c r="G97" s="13">
        <v>150</v>
      </c>
      <c r="H97" s="13">
        <v>0</v>
      </c>
      <c r="I97" s="13">
        <v>1</v>
      </c>
      <c r="J97" s="13">
        <v>0</v>
      </c>
      <c r="K97" s="13">
        <v>0</v>
      </c>
      <c r="L97" s="13">
        <v>0</v>
      </c>
      <c r="M97" s="13">
        <v>1</v>
      </c>
      <c r="N97" s="21">
        <v>149.1</v>
      </c>
      <c r="O97" s="22">
        <v>139.1</v>
      </c>
      <c r="P97" s="40">
        <v>0.56252314814814819</v>
      </c>
      <c r="Q97" s="40">
        <v>0.5786458333333333</v>
      </c>
      <c r="R97" s="14">
        <v>0</v>
      </c>
      <c r="S97" s="14">
        <v>1500</v>
      </c>
      <c r="T97" s="14">
        <v>22365</v>
      </c>
    </row>
    <row r="98" spans="1:20" ht="18">
      <c r="A98" s="10" t="s">
        <v>20</v>
      </c>
      <c r="B98" s="11" t="s">
        <v>44</v>
      </c>
      <c r="C98" s="12">
        <v>45890</v>
      </c>
      <c r="D98" s="13">
        <v>1</v>
      </c>
      <c r="E98" s="14">
        <v>3499</v>
      </c>
      <c r="F98" s="15" t="s">
        <v>25</v>
      </c>
      <c r="G98" s="13">
        <v>150</v>
      </c>
      <c r="H98" s="13">
        <v>1</v>
      </c>
      <c r="I98" s="13">
        <v>0</v>
      </c>
      <c r="J98" s="13">
        <v>1</v>
      </c>
      <c r="K98" s="13">
        <v>0</v>
      </c>
      <c r="L98" s="13">
        <v>0</v>
      </c>
      <c r="M98" s="13">
        <v>0</v>
      </c>
      <c r="N98" s="21">
        <v>172</v>
      </c>
      <c r="O98" s="22">
        <v>196</v>
      </c>
      <c r="P98" s="40">
        <v>0.59295138888888888</v>
      </c>
      <c r="Q98" s="40">
        <v>0.59516203703703707</v>
      </c>
      <c r="R98" s="14">
        <v>3499</v>
      </c>
      <c r="S98" s="14">
        <v>1500</v>
      </c>
      <c r="T98" s="14">
        <v>25800</v>
      </c>
    </row>
    <row r="99" spans="1:20" ht="18">
      <c r="A99" s="27" t="s">
        <v>35</v>
      </c>
      <c r="B99" s="28" t="s">
        <v>44</v>
      </c>
      <c r="C99" s="29">
        <v>45890</v>
      </c>
      <c r="D99" s="30">
        <v>2</v>
      </c>
      <c r="E99" s="31">
        <f>SUM(E97:E98)</f>
        <v>1913</v>
      </c>
      <c r="F99" s="38" t="s">
        <v>25</v>
      </c>
      <c r="G99" s="30">
        <v>300</v>
      </c>
      <c r="H99" s="30">
        <v>1</v>
      </c>
      <c r="I99" s="30">
        <v>1</v>
      </c>
      <c r="J99" s="30">
        <v>1</v>
      </c>
      <c r="K99" s="30">
        <v>0</v>
      </c>
      <c r="L99" s="30">
        <v>0</v>
      </c>
      <c r="M99" s="30">
        <v>1</v>
      </c>
      <c r="N99" s="31" t="s">
        <v>36</v>
      </c>
      <c r="O99" s="31" t="s">
        <v>36</v>
      </c>
      <c r="P99" s="33" t="s">
        <v>36</v>
      </c>
      <c r="Q99" s="33" t="s">
        <v>36</v>
      </c>
      <c r="R99" s="31">
        <v>6799</v>
      </c>
      <c r="S99" s="31">
        <v>3000</v>
      </c>
      <c r="T99" s="31">
        <f>SUM(T97:T98)</f>
        <v>48165</v>
      </c>
    </row>
    <row r="100" spans="1:20" ht="18">
      <c r="A100" s="10" t="s">
        <v>20</v>
      </c>
      <c r="B100" s="11" t="s">
        <v>45</v>
      </c>
      <c r="C100" s="12">
        <v>45891</v>
      </c>
      <c r="D100" s="13">
        <v>1</v>
      </c>
      <c r="E100" s="14">
        <v>722</v>
      </c>
      <c r="F100" s="15" t="s">
        <v>25</v>
      </c>
      <c r="G100" s="13">
        <v>150</v>
      </c>
      <c r="H100" s="13">
        <v>1</v>
      </c>
      <c r="I100" s="13">
        <v>0</v>
      </c>
      <c r="J100" s="13">
        <v>1</v>
      </c>
      <c r="K100" s="13">
        <v>0</v>
      </c>
      <c r="L100" s="13">
        <v>0</v>
      </c>
      <c r="M100" s="13">
        <v>0</v>
      </c>
      <c r="N100" s="21">
        <v>139.5</v>
      </c>
      <c r="O100" s="22">
        <v>144.9</v>
      </c>
      <c r="P100" s="40">
        <v>0.48120370370370369</v>
      </c>
      <c r="Q100" s="40">
        <v>0.49098379629629629</v>
      </c>
      <c r="R100" s="14">
        <v>722</v>
      </c>
      <c r="S100" s="14">
        <v>1500</v>
      </c>
      <c r="T100" s="14">
        <v>20925</v>
      </c>
    </row>
    <row r="101" spans="1:20" s="39" customFormat="1" ht="18">
      <c r="A101" s="10" t="s">
        <v>20</v>
      </c>
      <c r="B101" s="11" t="s">
        <v>45</v>
      </c>
      <c r="C101" s="12">
        <v>45891</v>
      </c>
      <c r="D101" s="13">
        <v>1</v>
      </c>
      <c r="E101" s="14">
        <v>1029</v>
      </c>
      <c r="F101" s="15" t="s">
        <v>25</v>
      </c>
      <c r="G101" s="13">
        <v>150</v>
      </c>
      <c r="H101" s="13">
        <v>1</v>
      </c>
      <c r="I101" s="13">
        <v>0</v>
      </c>
      <c r="J101" s="13">
        <v>1</v>
      </c>
      <c r="K101" s="13">
        <v>0</v>
      </c>
      <c r="L101" s="13">
        <v>0</v>
      </c>
      <c r="M101" s="13">
        <v>0</v>
      </c>
      <c r="N101" s="21">
        <v>166.1</v>
      </c>
      <c r="O101" s="22">
        <v>173.6</v>
      </c>
      <c r="P101" s="40">
        <v>0.51072916666666668</v>
      </c>
      <c r="Q101" s="40">
        <v>0.55907407407407406</v>
      </c>
      <c r="R101" s="14">
        <v>1029</v>
      </c>
      <c r="S101" s="14">
        <v>1500</v>
      </c>
      <c r="T101" s="14">
        <v>24915</v>
      </c>
    </row>
    <row r="102" spans="1:20" ht="18">
      <c r="A102" s="27" t="s">
        <v>35</v>
      </c>
      <c r="B102" s="28" t="s">
        <v>45</v>
      </c>
      <c r="C102" s="29">
        <v>45891</v>
      </c>
      <c r="D102" s="30">
        <v>2</v>
      </c>
      <c r="E102" s="31">
        <f>SUM(E100:E101)</f>
        <v>1751</v>
      </c>
      <c r="F102" s="38" t="s">
        <v>25</v>
      </c>
      <c r="G102" s="30">
        <v>300</v>
      </c>
      <c r="H102" s="30">
        <v>2</v>
      </c>
      <c r="I102" s="30">
        <v>0</v>
      </c>
      <c r="J102" s="30">
        <v>2</v>
      </c>
      <c r="K102" s="30">
        <v>0</v>
      </c>
      <c r="L102" s="30">
        <v>0</v>
      </c>
      <c r="M102" s="30">
        <v>0</v>
      </c>
      <c r="N102" s="31" t="s">
        <v>36</v>
      </c>
      <c r="O102" s="31" t="s">
        <v>36</v>
      </c>
      <c r="P102" s="33" t="s">
        <v>36</v>
      </c>
      <c r="Q102" s="33" t="s">
        <v>36</v>
      </c>
      <c r="R102" s="31">
        <v>1751</v>
      </c>
      <c r="S102" s="31">
        <v>3000</v>
      </c>
      <c r="T102" s="31">
        <f>SUM(T100:T101)</f>
        <v>45840</v>
      </c>
    </row>
    <row r="103" spans="1:20" ht="18">
      <c r="A103" s="10" t="s">
        <v>20</v>
      </c>
      <c r="B103" s="11" t="s">
        <v>21</v>
      </c>
      <c r="C103" s="12">
        <v>45894</v>
      </c>
      <c r="D103" s="13">
        <v>1</v>
      </c>
      <c r="E103" s="14">
        <v>-1574</v>
      </c>
      <c r="F103" s="15" t="s">
        <v>25</v>
      </c>
      <c r="G103" s="13">
        <v>150</v>
      </c>
      <c r="H103" s="13">
        <v>0</v>
      </c>
      <c r="I103" s="13">
        <v>1</v>
      </c>
      <c r="J103" s="13">
        <v>0</v>
      </c>
      <c r="K103" s="13">
        <v>0</v>
      </c>
      <c r="L103" s="13">
        <v>0</v>
      </c>
      <c r="M103" s="13">
        <v>1</v>
      </c>
      <c r="N103" s="21">
        <v>105.2</v>
      </c>
      <c r="O103" s="22">
        <v>95.2</v>
      </c>
      <c r="P103" s="40">
        <v>0.3855439814814815</v>
      </c>
      <c r="Q103" s="40">
        <v>0.39230324074074074</v>
      </c>
      <c r="R103" s="14">
        <v>0</v>
      </c>
      <c r="S103" s="14">
        <v>1574</v>
      </c>
      <c r="T103" s="14">
        <v>15780</v>
      </c>
    </row>
    <row r="104" spans="1:20" ht="18">
      <c r="A104" s="10" t="s">
        <v>20</v>
      </c>
      <c r="B104" s="11" t="s">
        <v>21</v>
      </c>
      <c r="C104" s="12">
        <v>45894</v>
      </c>
      <c r="D104" s="13">
        <v>1</v>
      </c>
      <c r="E104" s="14">
        <v>67</v>
      </c>
      <c r="F104" s="15" t="s">
        <v>25</v>
      </c>
      <c r="G104" s="13">
        <v>150</v>
      </c>
      <c r="H104" s="13">
        <v>1</v>
      </c>
      <c r="I104" s="13">
        <v>0</v>
      </c>
      <c r="J104" s="13">
        <v>1</v>
      </c>
      <c r="K104" s="13">
        <v>0</v>
      </c>
      <c r="L104" s="13">
        <v>0</v>
      </c>
      <c r="M104" s="13">
        <v>0</v>
      </c>
      <c r="N104" s="21">
        <v>127.7</v>
      </c>
      <c r="O104" s="22">
        <v>128.69999999999999</v>
      </c>
      <c r="P104" s="40">
        <v>0.39396990740740739</v>
      </c>
      <c r="Q104" s="40">
        <v>0.4085185185185185</v>
      </c>
      <c r="R104" s="14">
        <v>67</v>
      </c>
      <c r="S104" s="14">
        <v>1500</v>
      </c>
      <c r="T104" s="14">
        <v>19155</v>
      </c>
    </row>
    <row r="105" spans="1:20" ht="18">
      <c r="A105" s="10" t="s">
        <v>20</v>
      </c>
      <c r="B105" s="11" t="s">
        <v>21</v>
      </c>
      <c r="C105" s="12">
        <v>45894</v>
      </c>
      <c r="D105" s="13">
        <v>1</v>
      </c>
      <c r="E105" s="14">
        <v>4675</v>
      </c>
      <c r="F105" s="15" t="s">
        <v>25</v>
      </c>
      <c r="G105" s="13">
        <v>150</v>
      </c>
      <c r="H105" s="13">
        <v>1</v>
      </c>
      <c r="I105" s="13">
        <v>0</v>
      </c>
      <c r="J105" s="13">
        <v>0</v>
      </c>
      <c r="K105" s="13">
        <v>0</v>
      </c>
      <c r="L105" s="13">
        <v>1</v>
      </c>
      <c r="M105" s="13">
        <v>0</v>
      </c>
      <c r="N105" s="21">
        <v>173.25</v>
      </c>
      <c r="O105" s="22">
        <v>205.1</v>
      </c>
      <c r="P105" s="40">
        <v>0.40940972222222222</v>
      </c>
      <c r="Q105" s="40">
        <v>0.42604166666666665</v>
      </c>
      <c r="R105" s="14">
        <v>4675</v>
      </c>
      <c r="S105" s="14">
        <v>1500</v>
      </c>
      <c r="T105" s="14">
        <v>25987</v>
      </c>
    </row>
    <row r="106" spans="1:20" ht="18">
      <c r="A106" s="10" t="s">
        <v>20</v>
      </c>
      <c r="B106" s="11" t="s">
        <v>21</v>
      </c>
      <c r="C106" s="12">
        <v>45894</v>
      </c>
      <c r="D106" s="13">
        <v>1</v>
      </c>
      <c r="E106" s="14">
        <v>-1585</v>
      </c>
      <c r="F106" s="15" t="s">
        <v>25</v>
      </c>
      <c r="G106" s="13">
        <v>150</v>
      </c>
      <c r="H106" s="13">
        <v>0</v>
      </c>
      <c r="I106" s="13">
        <v>1</v>
      </c>
      <c r="J106" s="13">
        <v>0</v>
      </c>
      <c r="K106" s="13">
        <v>1</v>
      </c>
      <c r="L106" s="13">
        <v>0</v>
      </c>
      <c r="M106" s="13">
        <v>0</v>
      </c>
      <c r="N106" s="21">
        <v>144.44999999999999</v>
      </c>
      <c r="O106" s="22">
        <v>134.44999999999999</v>
      </c>
      <c r="P106" s="40">
        <v>0.62275462962962957</v>
      </c>
      <c r="Q106" s="40">
        <v>0.62574074074074071</v>
      </c>
      <c r="R106" s="14">
        <v>0</v>
      </c>
      <c r="S106" s="14">
        <v>1585</v>
      </c>
      <c r="T106" s="14">
        <v>21667</v>
      </c>
    </row>
    <row r="107" spans="1:20" ht="18">
      <c r="A107" s="10" t="s">
        <v>20</v>
      </c>
      <c r="B107" s="11" t="s">
        <v>21</v>
      </c>
      <c r="C107" s="12">
        <v>45894</v>
      </c>
      <c r="D107" s="13">
        <v>1</v>
      </c>
      <c r="E107" s="14">
        <v>-304</v>
      </c>
      <c r="F107" s="15" t="s">
        <v>25</v>
      </c>
      <c r="G107" s="13">
        <v>150</v>
      </c>
      <c r="H107" s="13">
        <v>0</v>
      </c>
      <c r="I107" s="13">
        <v>1</v>
      </c>
      <c r="J107" s="13">
        <v>0</v>
      </c>
      <c r="K107" s="13">
        <v>0</v>
      </c>
      <c r="L107" s="13">
        <v>0</v>
      </c>
      <c r="M107" s="13">
        <v>1</v>
      </c>
      <c r="N107" s="21">
        <v>145.30000000000001</v>
      </c>
      <c r="O107" s="22">
        <v>143.85</v>
      </c>
      <c r="P107" s="40">
        <v>0.62621527777777775</v>
      </c>
      <c r="Q107" s="40">
        <v>0.63886574074074076</v>
      </c>
      <c r="R107" s="14">
        <v>0</v>
      </c>
      <c r="S107" s="14">
        <v>304</v>
      </c>
      <c r="T107" s="14">
        <v>21795</v>
      </c>
    </row>
    <row r="108" spans="1:20" ht="18">
      <c r="A108" s="27" t="s">
        <v>35</v>
      </c>
      <c r="B108" s="28" t="s">
        <v>21</v>
      </c>
      <c r="C108" s="29">
        <v>45894</v>
      </c>
      <c r="D108" s="30">
        <v>5</v>
      </c>
      <c r="E108" s="31">
        <f>SUM(E103:E107)</f>
        <v>1279</v>
      </c>
      <c r="F108" s="38" t="s">
        <v>25</v>
      </c>
      <c r="G108" s="30">
        <f>SUM(G103:G107)</f>
        <v>750</v>
      </c>
      <c r="H108" s="30">
        <v>2</v>
      </c>
      <c r="I108" s="30">
        <v>3</v>
      </c>
      <c r="J108" s="30">
        <v>1</v>
      </c>
      <c r="K108" s="30">
        <v>1</v>
      </c>
      <c r="L108" s="30">
        <v>1</v>
      </c>
      <c r="M108" s="30">
        <v>2</v>
      </c>
      <c r="N108" s="31" t="s">
        <v>36</v>
      </c>
      <c r="O108" s="31" t="s">
        <v>36</v>
      </c>
      <c r="P108" s="33" t="s">
        <v>36</v>
      </c>
      <c r="Q108" s="33" t="s">
        <v>36</v>
      </c>
      <c r="R108" s="31">
        <f>SUM(R103:R107)</f>
        <v>4742</v>
      </c>
      <c r="S108" s="31">
        <f>SUM(S103:S107)</f>
        <v>6463</v>
      </c>
      <c r="T108" s="31">
        <f>SUM(T103:T107)</f>
        <v>104384</v>
      </c>
    </row>
    <row r="109" spans="1:20" s="39" customFormat="1" ht="18">
      <c r="A109" s="10" t="s">
        <v>20</v>
      </c>
      <c r="B109" s="11" t="s">
        <v>40</v>
      </c>
      <c r="C109" s="12">
        <v>45895</v>
      </c>
      <c r="D109" s="13">
        <v>1</v>
      </c>
      <c r="E109" s="14">
        <v>-1585</v>
      </c>
      <c r="F109" s="15" t="s">
        <v>25</v>
      </c>
      <c r="G109" s="13">
        <v>150</v>
      </c>
      <c r="H109" s="13">
        <v>0</v>
      </c>
      <c r="I109" s="13">
        <v>1</v>
      </c>
      <c r="J109" s="13">
        <v>0</v>
      </c>
      <c r="K109" s="13">
        <v>1</v>
      </c>
      <c r="L109" s="13">
        <v>0</v>
      </c>
      <c r="M109" s="13">
        <v>0</v>
      </c>
      <c r="N109" s="21">
        <v>143.30000000000001</v>
      </c>
      <c r="O109" s="22">
        <v>133.30000000000001</v>
      </c>
      <c r="P109" s="40">
        <v>0.3991898148148148</v>
      </c>
      <c r="Q109" s="40">
        <v>0.4001736111111111</v>
      </c>
      <c r="R109" s="14">
        <v>0</v>
      </c>
      <c r="S109" s="14">
        <v>1585</v>
      </c>
      <c r="T109" s="14">
        <v>21495</v>
      </c>
    </row>
    <row r="110" spans="1:20" ht="18">
      <c r="A110" s="10" t="s">
        <v>20</v>
      </c>
      <c r="B110" s="11" t="s">
        <v>40</v>
      </c>
      <c r="C110" s="12">
        <v>45895</v>
      </c>
      <c r="D110" s="13">
        <v>1</v>
      </c>
      <c r="E110" s="14">
        <v>-1579</v>
      </c>
      <c r="F110" s="15" t="s">
        <v>25</v>
      </c>
      <c r="G110" s="13">
        <v>150</v>
      </c>
      <c r="H110" s="13">
        <v>0</v>
      </c>
      <c r="I110" s="13">
        <v>1</v>
      </c>
      <c r="J110" s="13">
        <v>0</v>
      </c>
      <c r="K110" s="13">
        <v>0</v>
      </c>
      <c r="L110" s="13">
        <v>0</v>
      </c>
      <c r="M110" s="13">
        <v>1</v>
      </c>
      <c r="N110" s="21">
        <v>124.65</v>
      </c>
      <c r="O110" s="22">
        <v>114.65</v>
      </c>
      <c r="P110" s="40">
        <v>0.40175925925925926</v>
      </c>
      <c r="Q110" s="40">
        <v>0.40359953703703705</v>
      </c>
      <c r="R110" s="14">
        <v>0</v>
      </c>
      <c r="S110" s="14">
        <v>1579</v>
      </c>
      <c r="T110" s="14">
        <v>18697</v>
      </c>
    </row>
    <row r="111" spans="1:20" ht="18">
      <c r="A111" s="10" t="s">
        <v>20</v>
      </c>
      <c r="B111" s="11" t="s">
        <v>40</v>
      </c>
      <c r="C111" s="12">
        <v>45895</v>
      </c>
      <c r="D111" s="13">
        <v>1</v>
      </c>
      <c r="E111" s="14">
        <v>-1590</v>
      </c>
      <c r="F111" s="15" t="s">
        <v>25</v>
      </c>
      <c r="G111" s="13">
        <v>150</v>
      </c>
      <c r="H111" s="13">
        <v>0</v>
      </c>
      <c r="I111" s="13">
        <v>1</v>
      </c>
      <c r="J111" s="13">
        <v>0</v>
      </c>
      <c r="K111" s="13">
        <v>1</v>
      </c>
      <c r="L111" s="13">
        <v>0</v>
      </c>
      <c r="M111" s="13">
        <v>0</v>
      </c>
      <c r="N111" s="21">
        <v>162.94999999999999</v>
      </c>
      <c r="O111" s="22">
        <v>152.94999999999999</v>
      </c>
      <c r="P111" s="40">
        <v>0.40407407407407409</v>
      </c>
      <c r="Q111" s="40">
        <v>0.40583333333333332</v>
      </c>
      <c r="R111" s="14">
        <v>0</v>
      </c>
      <c r="S111" s="14">
        <v>1590</v>
      </c>
      <c r="T111" s="14">
        <v>24442</v>
      </c>
    </row>
    <row r="112" spans="1:20" s="39" customFormat="1" ht="18">
      <c r="A112" s="10" t="s">
        <v>20</v>
      </c>
      <c r="B112" s="11" t="s">
        <v>40</v>
      </c>
      <c r="C112" s="12">
        <v>45895</v>
      </c>
      <c r="D112" s="13">
        <v>1</v>
      </c>
      <c r="E112" s="14">
        <v>6076</v>
      </c>
      <c r="F112" s="15" t="s">
        <v>25</v>
      </c>
      <c r="G112" s="13">
        <v>150</v>
      </c>
      <c r="H112" s="13">
        <v>1</v>
      </c>
      <c r="I112" s="13">
        <v>0</v>
      </c>
      <c r="J112" s="13">
        <v>1</v>
      </c>
      <c r="K112" s="13">
        <v>0</v>
      </c>
      <c r="L112" s="13">
        <v>0</v>
      </c>
      <c r="M112" s="13">
        <v>0</v>
      </c>
      <c r="N112" s="21">
        <v>197.95</v>
      </c>
      <c r="O112" s="22">
        <v>239.2</v>
      </c>
      <c r="P112" s="40">
        <v>0.40688657407407408</v>
      </c>
      <c r="Q112" s="40">
        <v>0.4767824074074074</v>
      </c>
      <c r="R112" s="14">
        <v>6076</v>
      </c>
      <c r="S112" s="14">
        <v>1500</v>
      </c>
      <c r="T112" s="14">
        <v>29692</v>
      </c>
    </row>
    <row r="113" spans="1:20" ht="18">
      <c r="A113" s="10" t="s">
        <v>20</v>
      </c>
      <c r="B113" s="11" t="s">
        <v>40</v>
      </c>
      <c r="C113" s="12">
        <v>45895</v>
      </c>
      <c r="D113" s="13">
        <v>1</v>
      </c>
      <c r="E113" s="14">
        <v>1236</v>
      </c>
      <c r="F113" s="15" t="s">
        <v>25</v>
      </c>
      <c r="G113" s="13">
        <v>150</v>
      </c>
      <c r="H113" s="13">
        <v>1</v>
      </c>
      <c r="I113" s="13">
        <v>0</v>
      </c>
      <c r="J113" s="13">
        <v>0</v>
      </c>
      <c r="K113" s="13">
        <v>0</v>
      </c>
      <c r="L113" s="13">
        <v>1</v>
      </c>
      <c r="M113" s="13">
        <v>0</v>
      </c>
      <c r="N113" s="21">
        <v>151.35</v>
      </c>
      <c r="O113" s="22">
        <v>160.19999999999999</v>
      </c>
      <c r="P113" s="40">
        <v>0.59875</v>
      </c>
      <c r="Q113" s="40">
        <v>0.60130787037037037</v>
      </c>
      <c r="R113" s="14">
        <v>1236</v>
      </c>
      <c r="S113" s="14">
        <v>1500</v>
      </c>
      <c r="T113" s="14">
        <v>22702</v>
      </c>
    </row>
    <row r="114" spans="1:20" ht="18">
      <c r="A114" s="27" t="s">
        <v>35</v>
      </c>
      <c r="B114" s="28" t="s">
        <v>40</v>
      </c>
      <c r="C114" s="29">
        <v>45895</v>
      </c>
      <c r="D114" s="30">
        <v>5</v>
      </c>
      <c r="E114" s="31">
        <f>SUM(E109:E113)</f>
        <v>2558</v>
      </c>
      <c r="F114" s="38" t="s">
        <v>25</v>
      </c>
      <c r="G114" s="30">
        <f>SUM(G109:G113)</f>
        <v>750</v>
      </c>
      <c r="H114" s="30">
        <v>2</v>
      </c>
      <c r="I114" s="30">
        <v>3</v>
      </c>
      <c r="J114" s="30">
        <v>1</v>
      </c>
      <c r="K114" s="30">
        <v>2</v>
      </c>
      <c r="L114" s="30">
        <v>1</v>
      </c>
      <c r="M114" s="30">
        <v>1</v>
      </c>
      <c r="N114" s="31" t="s">
        <v>36</v>
      </c>
      <c r="O114" s="31" t="s">
        <v>36</v>
      </c>
      <c r="P114" s="33" t="s">
        <v>36</v>
      </c>
      <c r="Q114" s="33" t="s">
        <v>36</v>
      </c>
      <c r="R114" s="31">
        <f>SUM(R109:R113)</f>
        <v>7312</v>
      </c>
      <c r="S114" s="31">
        <f>SUM(S109:S113)</f>
        <v>7754</v>
      </c>
      <c r="T114" s="31">
        <f>SUM(T109:T113)</f>
        <v>117028</v>
      </c>
    </row>
    <row r="115" spans="1:20" s="39" customFormat="1" ht="18">
      <c r="A115" s="10" t="s">
        <v>20</v>
      </c>
      <c r="B115" s="11" t="s">
        <v>44</v>
      </c>
      <c r="C115" s="12">
        <v>45897</v>
      </c>
      <c r="D115" s="13">
        <v>1</v>
      </c>
      <c r="E115" s="14">
        <v>-1593</v>
      </c>
      <c r="F115" s="15" t="s">
        <v>25</v>
      </c>
      <c r="G115" s="13">
        <v>150</v>
      </c>
      <c r="H115" s="13">
        <v>0</v>
      </c>
      <c r="I115" s="13">
        <v>1</v>
      </c>
      <c r="J115" s="13">
        <v>0</v>
      </c>
      <c r="K115" s="13">
        <v>1</v>
      </c>
      <c r="L115" s="13">
        <v>0</v>
      </c>
      <c r="M115" s="13">
        <v>0</v>
      </c>
      <c r="N115" s="21">
        <v>173.6</v>
      </c>
      <c r="O115" s="22">
        <v>163.6</v>
      </c>
      <c r="P115" s="40">
        <v>0.4710300925925926</v>
      </c>
      <c r="Q115" s="40">
        <v>0.47180555555555553</v>
      </c>
      <c r="R115" s="14">
        <v>0</v>
      </c>
      <c r="S115" s="14">
        <v>1593</v>
      </c>
      <c r="T115" s="14">
        <v>26040</v>
      </c>
    </row>
    <row r="116" spans="1:20" ht="18">
      <c r="A116" s="10" t="s">
        <v>20</v>
      </c>
      <c r="B116" s="11" t="s">
        <v>44</v>
      </c>
      <c r="C116" s="12">
        <v>45897</v>
      </c>
      <c r="D116" s="13">
        <v>1</v>
      </c>
      <c r="E116" s="14">
        <v>-1593</v>
      </c>
      <c r="F116" s="15" t="s">
        <v>25</v>
      </c>
      <c r="G116" s="13">
        <v>150</v>
      </c>
      <c r="H116" s="13">
        <v>0</v>
      </c>
      <c r="I116" s="13">
        <v>1</v>
      </c>
      <c r="J116" s="13">
        <v>0</v>
      </c>
      <c r="K116" s="13">
        <v>1</v>
      </c>
      <c r="L116" s="13">
        <v>0</v>
      </c>
      <c r="M116" s="13">
        <v>0</v>
      </c>
      <c r="N116" s="21">
        <v>173.65</v>
      </c>
      <c r="O116" s="22">
        <v>163.65</v>
      </c>
      <c r="P116" s="40">
        <v>0.47256944444444443</v>
      </c>
      <c r="Q116" s="40">
        <v>0.47721064814814818</v>
      </c>
      <c r="R116" s="14">
        <v>0</v>
      </c>
      <c r="S116" s="14">
        <v>1593</v>
      </c>
      <c r="T116" s="14">
        <v>26047</v>
      </c>
    </row>
    <row r="117" spans="1:20" ht="18">
      <c r="A117" s="10" t="s">
        <v>20</v>
      </c>
      <c r="B117" s="11" t="s">
        <v>44</v>
      </c>
      <c r="C117" s="12">
        <v>45897</v>
      </c>
      <c r="D117" s="13">
        <v>1</v>
      </c>
      <c r="E117" s="14">
        <v>-1584</v>
      </c>
      <c r="F117" s="15" t="s">
        <v>25</v>
      </c>
      <c r="G117" s="13">
        <v>150</v>
      </c>
      <c r="H117" s="13">
        <v>0</v>
      </c>
      <c r="I117" s="13">
        <v>1</v>
      </c>
      <c r="J117" s="13">
        <v>0</v>
      </c>
      <c r="K117" s="13">
        <v>0</v>
      </c>
      <c r="L117" s="13">
        <v>0</v>
      </c>
      <c r="M117" s="13">
        <v>1</v>
      </c>
      <c r="N117" s="21">
        <v>142.80000000000001</v>
      </c>
      <c r="O117" s="22">
        <v>132.80000000000001</v>
      </c>
      <c r="P117" s="40">
        <v>0.48103009259259261</v>
      </c>
      <c r="Q117" s="40">
        <v>0.48158564814814814</v>
      </c>
      <c r="R117" s="14">
        <v>0</v>
      </c>
      <c r="S117" s="14">
        <v>1584</v>
      </c>
      <c r="T117" s="14">
        <v>21420</v>
      </c>
    </row>
    <row r="118" spans="1:20" ht="18">
      <c r="A118" s="10" t="s">
        <v>20</v>
      </c>
      <c r="B118" s="11" t="s">
        <v>44</v>
      </c>
      <c r="C118" s="12">
        <v>45897</v>
      </c>
      <c r="D118" s="13">
        <v>1</v>
      </c>
      <c r="E118" s="14">
        <v>-1609</v>
      </c>
      <c r="F118" s="15" t="s">
        <v>25</v>
      </c>
      <c r="G118" s="13">
        <v>150</v>
      </c>
      <c r="H118" s="13">
        <v>0</v>
      </c>
      <c r="I118" s="13">
        <v>1</v>
      </c>
      <c r="J118" s="13">
        <v>0</v>
      </c>
      <c r="K118" s="13">
        <v>0</v>
      </c>
      <c r="L118" s="13">
        <v>0</v>
      </c>
      <c r="M118" s="13">
        <v>1</v>
      </c>
      <c r="N118" s="21">
        <v>231.65</v>
      </c>
      <c r="O118" s="22">
        <v>221.65</v>
      </c>
      <c r="P118" s="40">
        <v>0.48195601851851849</v>
      </c>
      <c r="Q118" s="40">
        <v>0.48278935185185184</v>
      </c>
      <c r="R118" s="14">
        <v>0</v>
      </c>
      <c r="S118" s="14">
        <v>1609</v>
      </c>
      <c r="T118" s="14">
        <v>34747</v>
      </c>
    </row>
    <row r="119" spans="1:20" ht="18">
      <c r="A119" s="10" t="s">
        <v>20</v>
      </c>
      <c r="B119" s="11" t="s">
        <v>44</v>
      </c>
      <c r="C119" s="12">
        <v>45897</v>
      </c>
      <c r="D119" s="13">
        <v>1</v>
      </c>
      <c r="E119" s="14">
        <v>6375</v>
      </c>
      <c r="F119" s="15" t="s">
        <v>25</v>
      </c>
      <c r="G119" s="13">
        <v>150</v>
      </c>
      <c r="H119" s="13">
        <v>1</v>
      </c>
      <c r="I119" s="13">
        <v>0</v>
      </c>
      <c r="J119" s="13">
        <v>0</v>
      </c>
      <c r="K119" s="13">
        <v>0</v>
      </c>
      <c r="L119" s="13">
        <v>1</v>
      </c>
      <c r="M119" s="13">
        <v>0</v>
      </c>
      <c r="N119" s="21">
        <v>226.55</v>
      </c>
      <c r="O119" s="22">
        <v>269.85000000000002</v>
      </c>
      <c r="P119" s="40">
        <v>0.48341435185185183</v>
      </c>
      <c r="Q119" s="40">
        <v>0.49675925925925923</v>
      </c>
      <c r="R119" s="14">
        <v>6375</v>
      </c>
      <c r="S119" s="14">
        <v>1500</v>
      </c>
      <c r="T119" s="14">
        <v>33982</v>
      </c>
    </row>
    <row r="120" spans="1:20" ht="18">
      <c r="A120" s="10" t="s">
        <v>20</v>
      </c>
      <c r="B120" s="11" t="s">
        <v>44</v>
      </c>
      <c r="C120" s="12">
        <v>45897</v>
      </c>
      <c r="D120" s="13">
        <v>1</v>
      </c>
      <c r="E120" s="14">
        <v>337</v>
      </c>
      <c r="F120" s="15" t="s">
        <v>25</v>
      </c>
      <c r="G120" s="13">
        <v>150</v>
      </c>
      <c r="H120" s="13">
        <v>1</v>
      </c>
      <c r="I120" s="13">
        <v>0</v>
      </c>
      <c r="J120" s="13">
        <v>1</v>
      </c>
      <c r="K120" s="13">
        <v>0</v>
      </c>
      <c r="L120" s="13">
        <v>0</v>
      </c>
      <c r="M120" s="13">
        <v>0</v>
      </c>
      <c r="N120" s="21">
        <v>177.5</v>
      </c>
      <c r="O120" s="22">
        <v>180.4</v>
      </c>
      <c r="P120" s="40">
        <v>0.49914351851851851</v>
      </c>
      <c r="Q120" s="40">
        <v>0.51171296296296298</v>
      </c>
      <c r="R120" s="14">
        <v>337</v>
      </c>
      <c r="S120" s="14">
        <v>1500</v>
      </c>
      <c r="T120" s="14">
        <v>26625</v>
      </c>
    </row>
    <row r="121" spans="1:20" s="39" customFormat="1" ht="18">
      <c r="A121" s="10" t="s">
        <v>20</v>
      </c>
      <c r="B121" s="11" t="s">
        <v>44</v>
      </c>
      <c r="C121" s="12">
        <v>45897</v>
      </c>
      <c r="D121" s="13">
        <v>1</v>
      </c>
      <c r="E121" s="14">
        <v>2250</v>
      </c>
      <c r="F121" s="15" t="s">
        <v>25</v>
      </c>
      <c r="G121" s="13">
        <v>150</v>
      </c>
      <c r="H121" s="13">
        <v>1</v>
      </c>
      <c r="I121" s="13">
        <v>0</v>
      </c>
      <c r="J121" s="13">
        <v>0</v>
      </c>
      <c r="K121" s="13">
        <v>0</v>
      </c>
      <c r="L121" s="13">
        <v>1</v>
      </c>
      <c r="M121" s="13">
        <v>0</v>
      </c>
      <c r="N121" s="21">
        <v>274.14999999999998</v>
      </c>
      <c r="O121" s="22">
        <v>290</v>
      </c>
      <c r="P121" s="40">
        <v>0.51197916666666665</v>
      </c>
      <c r="Q121" s="40">
        <v>0.51358796296296294</v>
      </c>
      <c r="R121" s="14">
        <v>2250</v>
      </c>
      <c r="S121" s="14">
        <v>1500</v>
      </c>
      <c r="T121" s="14">
        <v>41122</v>
      </c>
    </row>
    <row r="122" spans="1:20" ht="18">
      <c r="A122" s="27" t="s">
        <v>35</v>
      </c>
      <c r="B122" s="28" t="s">
        <v>44</v>
      </c>
      <c r="C122" s="29">
        <v>45897</v>
      </c>
      <c r="D122" s="30">
        <v>7</v>
      </c>
      <c r="E122" s="31">
        <f>SUM(E115:E121)</f>
        <v>2583</v>
      </c>
      <c r="F122" s="38" t="s">
        <v>25</v>
      </c>
      <c r="G122" s="30">
        <f>SUM(G115:G121)</f>
        <v>1050</v>
      </c>
      <c r="H122" s="30">
        <v>3</v>
      </c>
      <c r="I122" s="30">
        <v>4</v>
      </c>
      <c r="J122" s="30">
        <v>1</v>
      </c>
      <c r="K122" s="30">
        <v>2</v>
      </c>
      <c r="L122" s="30">
        <v>2</v>
      </c>
      <c r="M122" s="30">
        <v>2</v>
      </c>
      <c r="N122" s="31" t="s">
        <v>36</v>
      </c>
      <c r="O122" s="31" t="s">
        <v>36</v>
      </c>
      <c r="P122" s="33" t="s">
        <v>36</v>
      </c>
      <c r="Q122" s="33" t="s">
        <v>36</v>
      </c>
      <c r="R122" s="31">
        <f>SUM(R115:R121)</f>
        <v>8962</v>
      </c>
      <c r="S122" s="31">
        <f>SUM(S115:S121)</f>
        <v>10879</v>
      </c>
      <c r="T122" s="31">
        <f>SUM(T115:T121)</f>
        <v>209983</v>
      </c>
    </row>
    <row r="123" spans="1:20" ht="18">
      <c r="A123" s="10" t="s">
        <v>20</v>
      </c>
      <c r="B123" s="11" t="s">
        <v>45</v>
      </c>
      <c r="C123" s="12">
        <v>45898</v>
      </c>
      <c r="D123" s="13">
        <v>1</v>
      </c>
      <c r="E123" s="14">
        <v>3476</v>
      </c>
      <c r="F123" s="15" t="s">
        <v>25</v>
      </c>
      <c r="G123" s="13">
        <v>150</v>
      </c>
      <c r="H123" s="13">
        <v>1</v>
      </c>
      <c r="I123" s="13">
        <v>0</v>
      </c>
      <c r="J123" s="13">
        <v>0</v>
      </c>
      <c r="K123" s="13">
        <v>0</v>
      </c>
      <c r="L123" s="13">
        <v>1</v>
      </c>
      <c r="M123" s="13">
        <v>0</v>
      </c>
      <c r="N123" s="21">
        <v>119.3</v>
      </c>
      <c r="O123" s="22">
        <v>143.05000000000001</v>
      </c>
      <c r="P123" s="40">
        <v>0.3881134259259259</v>
      </c>
      <c r="Q123" s="40">
        <v>0.38912037037037039</v>
      </c>
      <c r="R123" s="14">
        <v>3476</v>
      </c>
      <c r="S123" s="14">
        <v>1500</v>
      </c>
      <c r="T123" s="14">
        <v>17895</v>
      </c>
    </row>
    <row r="124" spans="1:20" ht="18">
      <c r="A124" s="10" t="s">
        <v>20</v>
      </c>
      <c r="B124" s="11" t="s">
        <v>45</v>
      </c>
      <c r="C124" s="12">
        <v>45898</v>
      </c>
      <c r="D124" s="13">
        <v>1</v>
      </c>
      <c r="E124" s="14">
        <v>-1147</v>
      </c>
      <c r="F124" s="15" t="s">
        <v>25</v>
      </c>
      <c r="G124" s="13">
        <v>150</v>
      </c>
      <c r="H124" s="13">
        <v>0</v>
      </c>
      <c r="I124" s="13">
        <v>1</v>
      </c>
      <c r="J124" s="13">
        <v>0</v>
      </c>
      <c r="K124" s="13">
        <v>1</v>
      </c>
      <c r="L124" s="13">
        <v>0</v>
      </c>
      <c r="M124" s="13">
        <v>0</v>
      </c>
      <c r="N124" s="21">
        <v>131.30000000000001</v>
      </c>
      <c r="O124" s="22">
        <v>124.2</v>
      </c>
      <c r="P124" s="40">
        <v>0.40263888888888888</v>
      </c>
      <c r="Q124" s="40">
        <v>0.40562500000000001</v>
      </c>
      <c r="R124" s="14">
        <v>0</v>
      </c>
      <c r="S124" s="14">
        <v>1147</v>
      </c>
      <c r="T124" s="14">
        <v>19695</v>
      </c>
    </row>
    <row r="125" spans="1:20" ht="18">
      <c r="A125" s="10" t="s">
        <v>20</v>
      </c>
      <c r="B125" s="11" t="s">
        <v>45</v>
      </c>
      <c r="C125" s="12">
        <v>45898</v>
      </c>
      <c r="D125" s="13">
        <v>1</v>
      </c>
      <c r="E125" s="14">
        <v>2634</v>
      </c>
      <c r="F125" s="15" t="s">
        <v>25</v>
      </c>
      <c r="G125" s="13">
        <v>150</v>
      </c>
      <c r="H125" s="13">
        <v>1</v>
      </c>
      <c r="I125" s="13">
        <v>0</v>
      </c>
      <c r="J125" s="13">
        <v>0</v>
      </c>
      <c r="K125" s="13">
        <v>0</v>
      </c>
      <c r="L125" s="13">
        <v>1</v>
      </c>
      <c r="M125" s="13">
        <v>0</v>
      </c>
      <c r="N125" s="21">
        <v>132.75</v>
      </c>
      <c r="O125" s="22">
        <v>150.9</v>
      </c>
      <c r="P125" s="40">
        <v>0.40589120370370368</v>
      </c>
      <c r="Q125" s="40">
        <v>0.41826388888888888</v>
      </c>
      <c r="R125" s="14">
        <v>2634</v>
      </c>
      <c r="S125" s="14">
        <v>1500</v>
      </c>
      <c r="T125" s="14">
        <v>19912</v>
      </c>
    </row>
    <row r="126" spans="1:20" ht="18">
      <c r="A126" s="27" t="s">
        <v>35</v>
      </c>
      <c r="B126" s="28" t="s">
        <v>45</v>
      </c>
      <c r="C126" s="29">
        <v>45898</v>
      </c>
      <c r="D126" s="30">
        <v>3</v>
      </c>
      <c r="E126" s="31">
        <f>SUM(E123:E125)</f>
        <v>4963</v>
      </c>
      <c r="F126" s="38" t="s">
        <v>25</v>
      </c>
      <c r="G126" s="30">
        <f>SUM(G123:G125)</f>
        <v>450</v>
      </c>
      <c r="H126" s="30">
        <v>2</v>
      </c>
      <c r="I126" s="30">
        <v>1</v>
      </c>
      <c r="J126" s="30">
        <v>0</v>
      </c>
      <c r="K126" s="30">
        <v>1</v>
      </c>
      <c r="L126" s="30">
        <v>2</v>
      </c>
      <c r="M126" s="30">
        <v>0</v>
      </c>
      <c r="N126" s="31" t="s">
        <v>36</v>
      </c>
      <c r="O126" s="31" t="s">
        <v>36</v>
      </c>
      <c r="P126" s="33" t="s">
        <v>36</v>
      </c>
      <c r="Q126" s="33" t="s">
        <v>36</v>
      </c>
      <c r="R126" s="31">
        <f>SUM(R123:R125)</f>
        <v>6110</v>
      </c>
      <c r="S126" s="31">
        <f>SUM(S123:S125)</f>
        <v>4147</v>
      </c>
      <c r="T126" s="31">
        <f>SUM(T123:T125)</f>
        <v>57502</v>
      </c>
    </row>
    <row r="127" spans="1:20" s="39" customFormat="1" ht="18">
      <c r="A127" s="10" t="s">
        <v>20</v>
      </c>
      <c r="B127" s="11" t="s">
        <v>21</v>
      </c>
      <c r="C127" s="12">
        <v>45901</v>
      </c>
      <c r="D127" s="13">
        <v>1</v>
      </c>
      <c r="E127" s="14">
        <v>-1583</v>
      </c>
      <c r="F127" s="15" t="s">
        <v>25</v>
      </c>
      <c r="G127" s="13">
        <v>150</v>
      </c>
      <c r="H127" s="13">
        <v>0</v>
      </c>
      <c r="I127" s="13">
        <v>1</v>
      </c>
      <c r="J127" s="13">
        <v>0</v>
      </c>
      <c r="K127" s="13">
        <v>1</v>
      </c>
      <c r="L127" s="13">
        <v>0</v>
      </c>
      <c r="M127" s="13">
        <v>0</v>
      </c>
      <c r="N127" s="21">
        <v>137.55000000000001</v>
      </c>
      <c r="O127" s="22">
        <v>127.55</v>
      </c>
      <c r="P127" s="40">
        <v>0.46325231481481483</v>
      </c>
      <c r="Q127" s="40">
        <v>0.49099537037037039</v>
      </c>
      <c r="R127" s="14">
        <v>0</v>
      </c>
      <c r="S127" s="14">
        <v>1583</v>
      </c>
      <c r="T127" s="14">
        <v>20632</v>
      </c>
    </row>
    <row r="128" spans="1:20" ht="18">
      <c r="A128" s="10" t="s">
        <v>20</v>
      </c>
      <c r="B128" s="11" t="s">
        <v>21</v>
      </c>
      <c r="C128" s="12">
        <v>45901</v>
      </c>
      <c r="D128" s="13">
        <v>1</v>
      </c>
      <c r="E128" s="14">
        <v>3176</v>
      </c>
      <c r="F128" s="15" t="s">
        <v>25</v>
      </c>
      <c r="G128" s="13">
        <v>150</v>
      </c>
      <c r="H128" s="13">
        <v>1</v>
      </c>
      <c r="I128" s="13">
        <v>0</v>
      </c>
      <c r="J128" s="13">
        <v>1</v>
      </c>
      <c r="K128" s="13">
        <v>0</v>
      </c>
      <c r="L128" s="13">
        <v>0</v>
      </c>
      <c r="M128" s="13">
        <v>0</v>
      </c>
      <c r="N128" s="21">
        <v>149.85</v>
      </c>
      <c r="O128" s="22">
        <v>171.65</v>
      </c>
      <c r="P128" s="40">
        <v>0.53858796296296296</v>
      </c>
      <c r="Q128" s="40">
        <v>0.54724537037037035</v>
      </c>
      <c r="R128" s="14">
        <v>3176</v>
      </c>
      <c r="S128" s="14">
        <v>1500</v>
      </c>
      <c r="T128" s="14">
        <v>22477</v>
      </c>
    </row>
    <row r="129" spans="1:20" ht="18">
      <c r="A129" s="27" t="s">
        <v>35</v>
      </c>
      <c r="B129" s="28" t="s">
        <v>21</v>
      </c>
      <c r="C129" s="29">
        <v>45901</v>
      </c>
      <c r="D129" s="30">
        <v>2</v>
      </c>
      <c r="E129" s="31">
        <f>SUM(E127:E128)</f>
        <v>1593</v>
      </c>
      <c r="F129" s="38" t="s">
        <v>25</v>
      </c>
      <c r="G129" s="30">
        <v>300</v>
      </c>
      <c r="H129" s="30">
        <v>1</v>
      </c>
      <c r="I129" s="30">
        <v>1</v>
      </c>
      <c r="J129" s="30">
        <v>1</v>
      </c>
      <c r="K129" s="30">
        <v>1</v>
      </c>
      <c r="L129" s="30">
        <v>0</v>
      </c>
      <c r="M129" s="30">
        <v>0</v>
      </c>
      <c r="N129" s="31" t="s">
        <v>36</v>
      </c>
      <c r="O129" s="31" t="s">
        <v>36</v>
      </c>
      <c r="P129" s="33" t="s">
        <v>36</v>
      </c>
      <c r="Q129" s="33" t="s">
        <v>36</v>
      </c>
      <c r="R129" s="31">
        <v>3176</v>
      </c>
      <c r="S129" s="31">
        <f>SUM(S127:S128)</f>
        <v>3083</v>
      </c>
      <c r="T129" s="31">
        <f>SUM(T127:T128)</f>
        <v>43109</v>
      </c>
    </row>
    <row r="130" spans="1:20" ht="18">
      <c r="A130" s="10" t="s">
        <v>20</v>
      </c>
      <c r="B130" s="11" t="s">
        <v>40</v>
      </c>
      <c r="C130" s="12">
        <v>45902</v>
      </c>
      <c r="D130" s="13">
        <v>1</v>
      </c>
      <c r="E130" s="14">
        <v>-1585</v>
      </c>
      <c r="F130" s="15" t="s">
        <v>25</v>
      </c>
      <c r="G130" s="13">
        <v>150</v>
      </c>
      <c r="H130" s="13">
        <v>0</v>
      </c>
      <c r="I130" s="13">
        <v>1</v>
      </c>
      <c r="J130" s="13">
        <v>0</v>
      </c>
      <c r="K130" s="13">
        <v>1</v>
      </c>
      <c r="L130" s="13">
        <v>0</v>
      </c>
      <c r="M130" s="13">
        <v>0</v>
      </c>
      <c r="N130" s="21">
        <v>143.9</v>
      </c>
      <c r="O130" s="22">
        <v>133.9</v>
      </c>
      <c r="P130" s="40">
        <v>0.38585648148148149</v>
      </c>
      <c r="Q130" s="40">
        <v>0.38715277777777779</v>
      </c>
      <c r="R130" s="14">
        <v>0</v>
      </c>
      <c r="S130" s="14">
        <v>1585</v>
      </c>
      <c r="T130" s="14">
        <v>21585</v>
      </c>
    </row>
    <row r="131" spans="1:20" ht="18">
      <c r="A131" s="10" t="s">
        <v>20</v>
      </c>
      <c r="B131" s="11" t="s">
        <v>40</v>
      </c>
      <c r="C131" s="12">
        <v>45902</v>
      </c>
      <c r="D131" s="13">
        <v>1</v>
      </c>
      <c r="E131" s="14">
        <v>-1580</v>
      </c>
      <c r="F131" s="15" t="s">
        <v>25</v>
      </c>
      <c r="G131" s="13">
        <v>150</v>
      </c>
      <c r="H131" s="13">
        <v>0</v>
      </c>
      <c r="I131" s="13">
        <v>1</v>
      </c>
      <c r="J131" s="13">
        <v>0</v>
      </c>
      <c r="K131" s="13">
        <v>1</v>
      </c>
      <c r="L131" s="13">
        <v>0</v>
      </c>
      <c r="M131" s="13">
        <v>0</v>
      </c>
      <c r="N131" s="21">
        <v>128.55000000000001</v>
      </c>
      <c r="O131" s="22">
        <v>118.55</v>
      </c>
      <c r="P131" s="40">
        <v>0.38760416666666669</v>
      </c>
      <c r="Q131" s="40">
        <v>0.38967592592592593</v>
      </c>
      <c r="R131" s="14">
        <v>0</v>
      </c>
      <c r="S131" s="14">
        <v>1580</v>
      </c>
      <c r="T131" s="14">
        <v>19282</v>
      </c>
    </row>
    <row r="132" spans="1:20" ht="18">
      <c r="A132" s="10" t="s">
        <v>20</v>
      </c>
      <c r="B132" s="11" t="s">
        <v>40</v>
      </c>
      <c r="C132" s="12">
        <v>45902</v>
      </c>
      <c r="D132" s="13">
        <v>1</v>
      </c>
      <c r="E132" s="14">
        <v>6044</v>
      </c>
      <c r="F132" s="15" t="s">
        <v>25</v>
      </c>
      <c r="G132" s="13">
        <v>150</v>
      </c>
      <c r="H132" s="13">
        <v>1</v>
      </c>
      <c r="I132" s="13">
        <v>0</v>
      </c>
      <c r="J132" s="13">
        <v>1</v>
      </c>
      <c r="K132" s="13">
        <v>0</v>
      </c>
      <c r="L132" s="13">
        <v>0</v>
      </c>
      <c r="M132" s="13">
        <v>0</v>
      </c>
      <c r="N132" s="21">
        <v>149.5</v>
      </c>
      <c r="O132" s="22">
        <v>190.45</v>
      </c>
      <c r="P132" s="40">
        <v>0.39042824074074073</v>
      </c>
      <c r="Q132" s="40">
        <v>0.40082175925925928</v>
      </c>
      <c r="R132" s="14">
        <v>6044</v>
      </c>
      <c r="S132" s="14">
        <v>1500</v>
      </c>
      <c r="T132" s="14">
        <v>22425</v>
      </c>
    </row>
    <row r="133" spans="1:20" ht="18">
      <c r="A133" s="10" t="s">
        <v>20</v>
      </c>
      <c r="B133" s="11" t="s">
        <v>40</v>
      </c>
      <c r="C133" s="12">
        <v>45902</v>
      </c>
      <c r="D133" s="13">
        <v>1</v>
      </c>
      <c r="E133" s="14">
        <v>3456</v>
      </c>
      <c r="F133" s="15" t="s">
        <v>25</v>
      </c>
      <c r="G133" s="13">
        <v>150</v>
      </c>
      <c r="H133" s="13">
        <v>1</v>
      </c>
      <c r="I133" s="13">
        <v>0</v>
      </c>
      <c r="J133" s="13">
        <v>0</v>
      </c>
      <c r="K133" s="13">
        <v>0</v>
      </c>
      <c r="L133" s="13">
        <v>1</v>
      </c>
      <c r="M133" s="13">
        <v>0</v>
      </c>
      <c r="N133" s="21">
        <v>139.80000000000001</v>
      </c>
      <c r="O133" s="22">
        <v>163.44999999999999</v>
      </c>
      <c r="P133" s="40">
        <v>0.56459490740740736</v>
      </c>
      <c r="Q133" s="40">
        <v>0.57008101851851856</v>
      </c>
      <c r="R133" s="14">
        <v>3456</v>
      </c>
      <c r="S133" s="14">
        <v>1500</v>
      </c>
      <c r="T133" s="14">
        <v>20970</v>
      </c>
    </row>
    <row r="134" spans="1:20" ht="18">
      <c r="A134" s="27" t="s">
        <v>35</v>
      </c>
      <c r="B134" s="28" t="s">
        <v>40</v>
      </c>
      <c r="C134" s="29">
        <v>45902</v>
      </c>
      <c r="D134" s="30">
        <v>4</v>
      </c>
      <c r="E134" s="31">
        <f>SUM(E130:E133)</f>
        <v>6335</v>
      </c>
      <c r="F134" s="38" t="s">
        <v>25</v>
      </c>
      <c r="G134" s="30">
        <f>SUM(G130:G133)</f>
        <v>600</v>
      </c>
      <c r="H134" s="30">
        <v>2</v>
      </c>
      <c r="I134" s="30">
        <v>2</v>
      </c>
      <c r="J134" s="30">
        <v>1</v>
      </c>
      <c r="K134" s="30">
        <v>2</v>
      </c>
      <c r="L134" s="30">
        <v>1</v>
      </c>
      <c r="M134" s="30">
        <v>0</v>
      </c>
      <c r="N134" s="31" t="s">
        <v>36</v>
      </c>
      <c r="O134" s="31" t="s">
        <v>36</v>
      </c>
      <c r="P134" s="33" t="s">
        <v>36</v>
      </c>
      <c r="Q134" s="33" t="s">
        <v>36</v>
      </c>
      <c r="R134" s="31">
        <f>SUM(R132:R133)</f>
        <v>9500</v>
      </c>
      <c r="S134" s="31">
        <f>SUM(S130:S133)</f>
        <v>6165</v>
      </c>
      <c r="T134" s="31">
        <f>SUM(T130:T133)</f>
        <v>84262</v>
      </c>
    </row>
    <row r="135" spans="1:20" ht="18">
      <c r="A135" s="10" t="s">
        <v>20</v>
      </c>
      <c r="B135" s="11" t="s">
        <v>43</v>
      </c>
      <c r="C135" s="12">
        <v>45903</v>
      </c>
      <c r="D135" s="13">
        <v>1</v>
      </c>
      <c r="E135" s="14">
        <v>-1580</v>
      </c>
      <c r="F135" s="15" t="s">
        <v>25</v>
      </c>
      <c r="G135" s="13">
        <v>150</v>
      </c>
      <c r="H135" s="13">
        <v>0</v>
      </c>
      <c r="I135" s="13">
        <v>1</v>
      </c>
      <c r="J135" s="13">
        <v>0</v>
      </c>
      <c r="K135" s="13">
        <v>0</v>
      </c>
      <c r="L135" s="13">
        <v>0</v>
      </c>
      <c r="M135" s="13">
        <v>1</v>
      </c>
      <c r="N135" s="21">
        <v>127.1</v>
      </c>
      <c r="O135" s="22">
        <v>117.1</v>
      </c>
      <c r="P135" s="40">
        <v>0.39317129629629627</v>
      </c>
      <c r="Q135" s="40">
        <v>0.39363425925925927</v>
      </c>
      <c r="R135" s="14">
        <v>0</v>
      </c>
      <c r="S135" s="14">
        <v>1580</v>
      </c>
      <c r="T135" s="14">
        <v>19065</v>
      </c>
    </row>
    <row r="136" spans="1:20" ht="18">
      <c r="A136" s="10" t="s">
        <v>20</v>
      </c>
      <c r="B136" s="11" t="s">
        <v>43</v>
      </c>
      <c r="C136" s="12">
        <v>45903</v>
      </c>
      <c r="D136" s="13">
        <v>1</v>
      </c>
      <c r="E136" s="14">
        <v>-1585</v>
      </c>
      <c r="F136" s="15" t="s">
        <v>25</v>
      </c>
      <c r="G136" s="13">
        <v>150</v>
      </c>
      <c r="H136" s="13">
        <v>0</v>
      </c>
      <c r="I136" s="13">
        <v>1</v>
      </c>
      <c r="J136" s="13">
        <v>0</v>
      </c>
      <c r="K136" s="13">
        <v>0</v>
      </c>
      <c r="L136" s="13">
        <v>0</v>
      </c>
      <c r="M136" s="13">
        <v>1</v>
      </c>
      <c r="N136" s="21">
        <v>144.65</v>
      </c>
      <c r="O136" s="22">
        <v>134.65</v>
      </c>
      <c r="P136" s="40">
        <v>0.39421296296296299</v>
      </c>
      <c r="Q136" s="40">
        <v>0.39583333333333331</v>
      </c>
      <c r="R136" s="14">
        <v>0</v>
      </c>
      <c r="S136" s="14">
        <v>1585</v>
      </c>
      <c r="T136" s="14">
        <v>21697</v>
      </c>
    </row>
    <row r="137" spans="1:20" ht="18">
      <c r="A137" s="10" t="s">
        <v>20</v>
      </c>
      <c r="B137" s="11" t="s">
        <v>43</v>
      </c>
      <c r="C137" s="12">
        <v>45903</v>
      </c>
      <c r="D137" s="13">
        <v>1</v>
      </c>
      <c r="E137" s="14">
        <v>453</v>
      </c>
      <c r="F137" s="15" t="s">
        <v>25</v>
      </c>
      <c r="G137" s="13">
        <v>150</v>
      </c>
      <c r="H137" s="13">
        <v>1</v>
      </c>
      <c r="I137" s="13">
        <v>0</v>
      </c>
      <c r="J137" s="13">
        <v>0</v>
      </c>
      <c r="K137" s="13">
        <v>0</v>
      </c>
      <c r="L137" s="13">
        <v>1</v>
      </c>
      <c r="M137" s="13">
        <v>0</v>
      </c>
      <c r="N137" s="21">
        <v>164.55</v>
      </c>
      <c r="O137" s="22">
        <v>168.2</v>
      </c>
      <c r="P137" s="40">
        <v>0.3961689814814815</v>
      </c>
      <c r="Q137" s="40">
        <v>0.41127314814814814</v>
      </c>
      <c r="R137" s="14">
        <v>453</v>
      </c>
      <c r="S137" s="14">
        <v>1500</v>
      </c>
      <c r="T137" s="14">
        <v>24682</v>
      </c>
    </row>
    <row r="138" spans="1:20" ht="18">
      <c r="A138" s="10" t="s">
        <v>20</v>
      </c>
      <c r="B138" s="11" t="s">
        <v>43</v>
      </c>
      <c r="C138" s="12">
        <v>45903</v>
      </c>
      <c r="D138" s="13">
        <v>1</v>
      </c>
      <c r="E138" s="14">
        <v>-1085</v>
      </c>
      <c r="F138" s="15" t="s">
        <v>25</v>
      </c>
      <c r="G138" s="13">
        <v>150</v>
      </c>
      <c r="H138" s="13">
        <v>0</v>
      </c>
      <c r="I138" s="13">
        <v>1</v>
      </c>
      <c r="J138" s="13">
        <v>0</v>
      </c>
      <c r="K138" s="13">
        <v>1</v>
      </c>
      <c r="L138" s="13">
        <v>0</v>
      </c>
      <c r="M138" s="13">
        <v>0</v>
      </c>
      <c r="N138" s="21">
        <v>152.5</v>
      </c>
      <c r="O138" s="22">
        <v>145.85</v>
      </c>
      <c r="P138" s="40">
        <v>0.41182870370370372</v>
      </c>
      <c r="Q138" s="40">
        <v>0.41524305555555557</v>
      </c>
      <c r="R138" s="14">
        <v>0</v>
      </c>
      <c r="S138" s="14">
        <v>1085</v>
      </c>
      <c r="T138" s="14">
        <v>22875</v>
      </c>
    </row>
    <row r="139" spans="1:20" ht="18">
      <c r="A139" s="10" t="s">
        <v>20</v>
      </c>
      <c r="B139" s="11" t="s">
        <v>43</v>
      </c>
      <c r="C139" s="12">
        <v>45903</v>
      </c>
      <c r="D139" s="13">
        <v>1</v>
      </c>
      <c r="E139" s="14">
        <v>-1007</v>
      </c>
      <c r="F139" s="15" t="s">
        <v>25</v>
      </c>
      <c r="G139" s="13">
        <v>150</v>
      </c>
      <c r="H139" s="13">
        <v>0</v>
      </c>
      <c r="I139" s="13">
        <v>1</v>
      </c>
      <c r="J139" s="13">
        <v>0</v>
      </c>
      <c r="K139" s="13">
        <v>0</v>
      </c>
      <c r="L139" s="13">
        <v>0</v>
      </c>
      <c r="M139" s="13">
        <v>1</v>
      </c>
      <c r="N139" s="21">
        <v>141.69999999999999</v>
      </c>
      <c r="O139" s="22">
        <v>135.55000000000001</v>
      </c>
      <c r="P139" s="40">
        <v>0.41711805555555553</v>
      </c>
      <c r="Q139" s="40">
        <v>0.41753472222222221</v>
      </c>
      <c r="R139" s="14">
        <v>0</v>
      </c>
      <c r="S139" s="14">
        <v>1007</v>
      </c>
      <c r="T139" s="14">
        <v>21255</v>
      </c>
    </row>
    <row r="140" spans="1:20" ht="18">
      <c r="A140" s="10" t="s">
        <v>20</v>
      </c>
      <c r="B140" s="11" t="s">
        <v>43</v>
      </c>
      <c r="C140" s="12">
        <v>45903</v>
      </c>
      <c r="D140" s="13">
        <v>1</v>
      </c>
      <c r="E140" s="14">
        <v>-1256</v>
      </c>
      <c r="F140" s="15" t="s">
        <v>25</v>
      </c>
      <c r="G140" s="13">
        <v>150</v>
      </c>
      <c r="H140" s="13">
        <v>0</v>
      </c>
      <c r="I140" s="13">
        <v>1</v>
      </c>
      <c r="J140" s="13">
        <v>0</v>
      </c>
      <c r="K140" s="13">
        <v>0</v>
      </c>
      <c r="L140" s="13">
        <v>0</v>
      </c>
      <c r="M140" s="13">
        <v>1</v>
      </c>
      <c r="N140" s="21">
        <v>175.2</v>
      </c>
      <c r="O140" s="22">
        <v>167.45</v>
      </c>
      <c r="P140" s="40">
        <v>0.41799768518518521</v>
      </c>
      <c r="Q140" s="40">
        <v>0.41853009259259261</v>
      </c>
      <c r="R140" s="14">
        <v>0</v>
      </c>
      <c r="S140" s="14">
        <v>1256</v>
      </c>
      <c r="T140" s="14">
        <v>26280</v>
      </c>
    </row>
    <row r="141" spans="1:20" ht="18">
      <c r="A141" s="10" t="s">
        <v>20</v>
      </c>
      <c r="B141" s="11" t="s">
        <v>43</v>
      </c>
      <c r="C141" s="12">
        <v>45903</v>
      </c>
      <c r="D141" s="13">
        <v>1</v>
      </c>
      <c r="E141" s="14">
        <v>-2420</v>
      </c>
      <c r="F141" s="15" t="s">
        <v>25</v>
      </c>
      <c r="G141" s="13">
        <v>225</v>
      </c>
      <c r="H141" s="13">
        <v>0</v>
      </c>
      <c r="I141" s="13">
        <v>1</v>
      </c>
      <c r="J141" s="13">
        <v>0</v>
      </c>
      <c r="K141" s="13">
        <v>1</v>
      </c>
      <c r="L141" s="13">
        <v>0</v>
      </c>
      <c r="M141" s="13">
        <v>0</v>
      </c>
      <c r="N141" s="21">
        <v>190.5</v>
      </c>
      <c r="O141" s="22">
        <v>180.5</v>
      </c>
      <c r="P141" s="40">
        <v>0.41876157407407405</v>
      </c>
      <c r="Q141" s="40">
        <v>0.44119212962962961</v>
      </c>
      <c r="R141" s="14">
        <v>0</v>
      </c>
      <c r="S141" s="14">
        <v>2420</v>
      </c>
      <c r="T141" s="14">
        <v>42877</v>
      </c>
    </row>
    <row r="142" spans="1:20" ht="18">
      <c r="A142" s="10" t="s">
        <v>20</v>
      </c>
      <c r="B142" s="11" t="s">
        <v>43</v>
      </c>
      <c r="C142" s="12">
        <v>45903</v>
      </c>
      <c r="D142" s="13">
        <v>1</v>
      </c>
      <c r="E142" s="14">
        <v>329</v>
      </c>
      <c r="F142" s="15" t="s">
        <v>25</v>
      </c>
      <c r="G142" s="13">
        <v>225</v>
      </c>
      <c r="H142" s="13">
        <v>1</v>
      </c>
      <c r="I142" s="13">
        <v>0</v>
      </c>
      <c r="J142" s="13">
        <v>0</v>
      </c>
      <c r="K142" s="13">
        <v>0</v>
      </c>
      <c r="L142" s="13">
        <v>1</v>
      </c>
      <c r="M142" s="13">
        <v>0</v>
      </c>
      <c r="N142" s="21">
        <v>173</v>
      </c>
      <c r="O142" s="22">
        <v>175</v>
      </c>
      <c r="P142" s="40">
        <v>0.44248842592592591</v>
      </c>
      <c r="Q142" s="40">
        <v>0.46393518518518517</v>
      </c>
      <c r="R142" s="14">
        <v>329</v>
      </c>
      <c r="S142" s="14">
        <v>2250</v>
      </c>
      <c r="T142" s="14">
        <v>38925</v>
      </c>
    </row>
    <row r="143" spans="1:20" ht="18">
      <c r="A143" s="10" t="s">
        <v>20</v>
      </c>
      <c r="B143" s="11" t="s">
        <v>43</v>
      </c>
      <c r="C143" s="12">
        <v>45903</v>
      </c>
      <c r="D143" s="13">
        <v>1</v>
      </c>
      <c r="E143" s="14">
        <v>-1282</v>
      </c>
      <c r="F143" s="15" t="s">
        <v>25</v>
      </c>
      <c r="G143" s="13">
        <v>225</v>
      </c>
      <c r="H143" s="13">
        <v>0</v>
      </c>
      <c r="I143" s="13">
        <v>1</v>
      </c>
      <c r="J143" s="13">
        <v>0</v>
      </c>
      <c r="K143" s="13">
        <v>1</v>
      </c>
      <c r="L143" s="13">
        <v>0</v>
      </c>
      <c r="M143" s="13">
        <v>0</v>
      </c>
      <c r="N143" s="21">
        <v>212.9</v>
      </c>
      <c r="O143" s="22">
        <v>207.8</v>
      </c>
      <c r="P143" s="40">
        <v>0.46504629629629629</v>
      </c>
      <c r="Q143" s="40">
        <v>0.46839120370370368</v>
      </c>
      <c r="R143" s="14">
        <v>0</v>
      </c>
      <c r="S143" s="14">
        <v>1282</v>
      </c>
      <c r="T143" s="14">
        <v>47902</v>
      </c>
    </row>
    <row r="144" spans="1:20" ht="18">
      <c r="A144" s="10" t="s">
        <v>20</v>
      </c>
      <c r="B144" s="11" t="s">
        <v>43</v>
      </c>
      <c r="C144" s="12">
        <v>45903</v>
      </c>
      <c r="D144" s="13">
        <v>1</v>
      </c>
      <c r="E144" s="14">
        <v>-1376</v>
      </c>
      <c r="F144" s="15" t="s">
        <v>25</v>
      </c>
      <c r="G144" s="13">
        <v>225</v>
      </c>
      <c r="H144" s="13">
        <v>0</v>
      </c>
      <c r="I144" s="13">
        <v>1</v>
      </c>
      <c r="J144" s="13">
        <v>0</v>
      </c>
      <c r="K144" s="13">
        <v>0</v>
      </c>
      <c r="L144" s="13">
        <v>0</v>
      </c>
      <c r="M144" s="13">
        <v>1</v>
      </c>
      <c r="N144" s="21">
        <v>169.7</v>
      </c>
      <c r="O144" s="22">
        <v>164.1</v>
      </c>
      <c r="P144" s="40">
        <v>0.46866898148148151</v>
      </c>
      <c r="Q144" s="40">
        <v>0.47313657407407406</v>
      </c>
      <c r="R144" s="14">
        <v>0</v>
      </c>
      <c r="S144" s="14">
        <v>1376</v>
      </c>
      <c r="T144" s="14">
        <v>38182</v>
      </c>
    </row>
    <row r="145" spans="1:20" ht="18">
      <c r="A145" s="10" t="s">
        <v>20</v>
      </c>
      <c r="B145" s="11" t="s">
        <v>43</v>
      </c>
      <c r="C145" s="12">
        <v>45903</v>
      </c>
      <c r="D145" s="13">
        <v>1</v>
      </c>
      <c r="E145" s="14">
        <v>-2239</v>
      </c>
      <c r="F145" s="15" t="s">
        <v>25</v>
      </c>
      <c r="G145" s="13">
        <v>225</v>
      </c>
      <c r="H145" s="13">
        <v>0</v>
      </c>
      <c r="I145" s="13">
        <v>1</v>
      </c>
      <c r="J145" s="13">
        <v>0</v>
      </c>
      <c r="K145" s="13">
        <v>1</v>
      </c>
      <c r="L145" s="13">
        <v>0</v>
      </c>
      <c r="M145" s="13">
        <v>0</v>
      </c>
      <c r="N145" s="21">
        <v>217.9</v>
      </c>
      <c r="O145" s="22">
        <v>208.55</v>
      </c>
      <c r="P145" s="40">
        <v>0.47368055555555555</v>
      </c>
      <c r="Q145" s="40">
        <v>0.47475694444444444</v>
      </c>
      <c r="R145" s="14">
        <v>0</v>
      </c>
      <c r="S145" s="14">
        <v>2239</v>
      </c>
      <c r="T145" s="14">
        <v>49027</v>
      </c>
    </row>
    <row r="146" spans="1:20" ht="18">
      <c r="A146" s="10" t="s">
        <v>20</v>
      </c>
      <c r="B146" s="11" t="s">
        <v>43</v>
      </c>
      <c r="C146" s="12">
        <v>45903</v>
      </c>
      <c r="D146" s="13">
        <v>1</v>
      </c>
      <c r="E146" s="14">
        <v>-3139</v>
      </c>
      <c r="F146" s="15" t="s">
        <v>25</v>
      </c>
      <c r="G146" s="13">
        <v>300</v>
      </c>
      <c r="H146" s="13">
        <v>0</v>
      </c>
      <c r="I146" s="13">
        <v>1</v>
      </c>
      <c r="J146" s="13">
        <v>0</v>
      </c>
      <c r="K146" s="13">
        <v>0</v>
      </c>
      <c r="L146" s="13">
        <v>0</v>
      </c>
      <c r="M146" s="13">
        <v>1</v>
      </c>
      <c r="N146" s="21">
        <v>173.6</v>
      </c>
      <c r="O146" s="22">
        <v>163.6</v>
      </c>
      <c r="P146" s="40">
        <v>0.47508101851851853</v>
      </c>
      <c r="Q146" s="40">
        <v>0.48506944444444444</v>
      </c>
      <c r="R146" s="14">
        <v>0</v>
      </c>
      <c r="S146" s="14">
        <v>3139</v>
      </c>
      <c r="T146" s="14">
        <v>52080</v>
      </c>
    </row>
    <row r="147" spans="1:20" ht="18">
      <c r="A147" s="10" t="s">
        <v>20</v>
      </c>
      <c r="B147" s="11" t="s">
        <v>43</v>
      </c>
      <c r="C147" s="12">
        <v>45903</v>
      </c>
      <c r="D147" s="13">
        <v>1</v>
      </c>
      <c r="E147" s="14">
        <v>-5816</v>
      </c>
      <c r="F147" s="15" t="s">
        <v>22</v>
      </c>
      <c r="G147" s="13">
        <v>750</v>
      </c>
      <c r="H147" s="13">
        <v>0</v>
      </c>
      <c r="I147" s="13">
        <v>1</v>
      </c>
      <c r="J147" s="13">
        <v>0</v>
      </c>
      <c r="K147" s="13">
        <v>0</v>
      </c>
      <c r="L147" s="13">
        <v>0</v>
      </c>
      <c r="M147" s="13">
        <v>1</v>
      </c>
      <c r="N147" s="21">
        <v>162.9</v>
      </c>
      <c r="O147" s="22">
        <v>155.5</v>
      </c>
      <c r="P147" s="40">
        <v>0.48578703703703702</v>
      </c>
      <c r="Q147" s="40">
        <v>0.49873842592592593</v>
      </c>
      <c r="R147" s="14">
        <v>0</v>
      </c>
      <c r="S147" s="14">
        <v>5816</v>
      </c>
      <c r="T147" s="14">
        <v>122175</v>
      </c>
    </row>
    <row r="148" spans="1:20" ht="18">
      <c r="A148" s="10" t="s">
        <v>20</v>
      </c>
      <c r="B148" s="11" t="s">
        <v>43</v>
      </c>
      <c r="C148" s="12">
        <v>45903</v>
      </c>
      <c r="D148" s="13">
        <v>1</v>
      </c>
      <c r="E148" s="14">
        <v>22142</v>
      </c>
      <c r="F148" s="15" t="s">
        <v>22</v>
      </c>
      <c r="G148" s="13">
        <v>750</v>
      </c>
      <c r="H148" s="13">
        <v>1</v>
      </c>
      <c r="I148" s="13">
        <v>0</v>
      </c>
      <c r="J148" s="13">
        <v>1</v>
      </c>
      <c r="K148" s="13">
        <v>0</v>
      </c>
      <c r="L148" s="13">
        <v>0</v>
      </c>
      <c r="M148" s="13">
        <v>0</v>
      </c>
      <c r="N148" s="21">
        <v>226.4</v>
      </c>
      <c r="O148" s="22">
        <v>256.45</v>
      </c>
      <c r="P148" s="40">
        <v>0.49891203703703701</v>
      </c>
      <c r="Q148" s="40">
        <v>0.50940972222222225</v>
      </c>
      <c r="R148" s="14">
        <v>22142</v>
      </c>
      <c r="S148" s="14">
        <v>7500</v>
      </c>
      <c r="T148" s="14">
        <v>169800</v>
      </c>
    </row>
    <row r="149" spans="1:20" ht="18">
      <c r="A149" s="10" t="s">
        <v>20</v>
      </c>
      <c r="B149" s="11" t="s">
        <v>43</v>
      </c>
      <c r="C149" s="12">
        <v>45903</v>
      </c>
      <c r="D149" s="13">
        <v>1</v>
      </c>
      <c r="E149" s="14">
        <v>1930</v>
      </c>
      <c r="F149" s="15" t="s">
        <v>25</v>
      </c>
      <c r="G149" s="13">
        <v>150</v>
      </c>
      <c r="H149" s="13">
        <v>1</v>
      </c>
      <c r="I149" s="13">
        <v>0</v>
      </c>
      <c r="J149" s="13">
        <v>0</v>
      </c>
      <c r="K149" s="13">
        <v>0</v>
      </c>
      <c r="L149" s="13">
        <v>1</v>
      </c>
      <c r="M149" s="13">
        <v>0</v>
      </c>
      <c r="N149" s="21">
        <v>184.95</v>
      </c>
      <c r="O149" s="22">
        <v>198.5</v>
      </c>
      <c r="P149" s="40">
        <v>0.515162037037037</v>
      </c>
      <c r="Q149" s="40">
        <v>0.53130787037037042</v>
      </c>
      <c r="R149" s="14">
        <v>1930</v>
      </c>
      <c r="S149" s="14">
        <v>1500</v>
      </c>
      <c r="T149" s="14">
        <v>27742</v>
      </c>
    </row>
    <row r="150" spans="1:20" s="39" customFormat="1" ht="18">
      <c r="A150" s="27" t="s">
        <v>35</v>
      </c>
      <c r="B150" s="28" t="s">
        <v>43</v>
      </c>
      <c r="C150" s="29">
        <v>45903</v>
      </c>
      <c r="D150" s="30">
        <v>15</v>
      </c>
      <c r="E150" s="31">
        <f>SUM(E135:E149)</f>
        <v>2069</v>
      </c>
      <c r="F150" s="38" t="s">
        <v>22</v>
      </c>
      <c r="G150" s="30">
        <f>SUM(G135:G149)</f>
        <v>3975</v>
      </c>
      <c r="H150" s="30">
        <f>SUM(H135:H149)</f>
        <v>4</v>
      </c>
      <c r="I150" s="30">
        <f>SUM(I135:I149)</f>
        <v>11</v>
      </c>
      <c r="J150" s="30">
        <v>1</v>
      </c>
      <c r="K150" s="30">
        <v>4</v>
      </c>
      <c r="L150" s="30">
        <v>3</v>
      </c>
      <c r="M150" s="30">
        <v>7</v>
      </c>
      <c r="N150" s="31" t="s">
        <v>36</v>
      </c>
      <c r="O150" s="31" t="s">
        <v>36</v>
      </c>
      <c r="P150" s="33" t="s">
        <v>36</v>
      </c>
      <c r="Q150" s="33" t="s">
        <v>36</v>
      </c>
      <c r="R150" s="31">
        <f>SUM(R135:R149)</f>
        <v>24854</v>
      </c>
      <c r="S150" s="31">
        <f>SUM(S135:S149)</f>
        <v>35535</v>
      </c>
      <c r="T150" s="31">
        <f>SUM(T135:T149)</f>
        <v>724564</v>
      </c>
    </row>
    <row r="151" spans="1:20" ht="18">
      <c r="A151" s="10" t="s">
        <v>20</v>
      </c>
      <c r="B151" s="11" t="s">
        <v>44</v>
      </c>
      <c r="C151" s="12">
        <v>45904</v>
      </c>
      <c r="D151" s="13">
        <v>1</v>
      </c>
      <c r="E151" s="14">
        <v>3263</v>
      </c>
      <c r="F151" s="15" t="s">
        <v>25</v>
      </c>
      <c r="G151" s="13">
        <v>150</v>
      </c>
      <c r="H151" s="13">
        <v>1</v>
      </c>
      <c r="I151" s="13">
        <v>0</v>
      </c>
      <c r="J151" s="13">
        <v>1</v>
      </c>
      <c r="K151" s="13">
        <v>0</v>
      </c>
      <c r="L151" s="13">
        <v>0</v>
      </c>
      <c r="M151" s="13">
        <v>0</v>
      </c>
      <c r="N151" s="14">
        <v>159.9</v>
      </c>
      <c r="O151" s="14">
        <v>182.3</v>
      </c>
      <c r="P151" s="40">
        <v>0.39076388888888891</v>
      </c>
      <c r="Q151" s="40">
        <v>0.39554398148148145</v>
      </c>
      <c r="R151" s="14">
        <v>3263</v>
      </c>
      <c r="S151" s="14">
        <v>1500</v>
      </c>
      <c r="T151" s="14">
        <v>23985</v>
      </c>
    </row>
    <row r="152" spans="1:20" ht="18">
      <c r="A152" s="10" t="s">
        <v>20</v>
      </c>
      <c r="B152" s="11" t="s">
        <v>44</v>
      </c>
      <c r="C152" s="12">
        <v>45904</v>
      </c>
      <c r="D152" s="13">
        <v>1</v>
      </c>
      <c r="E152" s="14">
        <v>2648</v>
      </c>
      <c r="F152" s="15" t="s">
        <v>25</v>
      </c>
      <c r="G152" s="13">
        <v>150</v>
      </c>
      <c r="H152" s="13">
        <v>1</v>
      </c>
      <c r="I152" s="13">
        <v>0</v>
      </c>
      <c r="J152" s="13">
        <v>0</v>
      </c>
      <c r="K152" s="13">
        <v>0</v>
      </c>
      <c r="L152" s="13">
        <v>1</v>
      </c>
      <c r="M152" s="13">
        <v>0</v>
      </c>
      <c r="N152" s="14">
        <v>162.94999999999999</v>
      </c>
      <c r="O152" s="14">
        <v>181.25</v>
      </c>
      <c r="P152" s="40">
        <v>0.40015046296296297</v>
      </c>
      <c r="Q152" s="40">
        <v>0.40238425925925925</v>
      </c>
      <c r="R152" s="14">
        <v>2648</v>
      </c>
      <c r="S152" s="14">
        <v>1500</v>
      </c>
      <c r="T152" s="14">
        <v>24442</v>
      </c>
    </row>
    <row r="153" spans="1:20" ht="18">
      <c r="A153" s="10" t="s">
        <v>20</v>
      </c>
      <c r="B153" s="11" t="s">
        <v>44</v>
      </c>
      <c r="C153" s="12">
        <v>45904</v>
      </c>
      <c r="D153" s="13">
        <v>1</v>
      </c>
      <c r="E153" s="14">
        <v>-1593</v>
      </c>
      <c r="F153" s="15" t="s">
        <v>25</v>
      </c>
      <c r="G153" s="13">
        <v>150</v>
      </c>
      <c r="H153" s="13">
        <v>0</v>
      </c>
      <c r="I153" s="13">
        <v>1</v>
      </c>
      <c r="J153" s="13">
        <v>0</v>
      </c>
      <c r="K153" s="13">
        <v>1</v>
      </c>
      <c r="L153" s="13">
        <v>0</v>
      </c>
      <c r="M153" s="13">
        <v>0</v>
      </c>
      <c r="N153" s="14">
        <v>175.35</v>
      </c>
      <c r="O153" s="14">
        <v>165.35</v>
      </c>
      <c r="P153" s="40">
        <v>0.45304398148148151</v>
      </c>
      <c r="Q153" s="40">
        <v>0.45586805555555554</v>
      </c>
      <c r="R153" s="14">
        <v>0</v>
      </c>
      <c r="S153" s="14">
        <v>1593</v>
      </c>
      <c r="T153" s="14">
        <v>26302</v>
      </c>
    </row>
    <row r="154" spans="1:20" ht="18">
      <c r="A154" s="10" t="s">
        <v>20</v>
      </c>
      <c r="B154" s="11" t="s">
        <v>44</v>
      </c>
      <c r="C154" s="12">
        <v>45904</v>
      </c>
      <c r="D154" s="13">
        <v>1</v>
      </c>
      <c r="E154" s="14">
        <v>-1600</v>
      </c>
      <c r="F154" s="15" t="s">
        <v>25</v>
      </c>
      <c r="G154" s="13">
        <v>150</v>
      </c>
      <c r="H154" s="13">
        <v>0</v>
      </c>
      <c r="I154" s="13">
        <v>1</v>
      </c>
      <c r="J154" s="13">
        <v>0</v>
      </c>
      <c r="K154" s="13">
        <v>0</v>
      </c>
      <c r="L154" s="13">
        <v>0</v>
      </c>
      <c r="M154" s="13">
        <v>1</v>
      </c>
      <c r="N154" s="14">
        <v>196.9</v>
      </c>
      <c r="O154" s="14">
        <v>186.9</v>
      </c>
      <c r="P154" s="40">
        <v>0.45659722222222221</v>
      </c>
      <c r="Q154" s="40">
        <v>0.45841435185185186</v>
      </c>
      <c r="R154" s="14">
        <v>0</v>
      </c>
      <c r="S154" s="14">
        <v>1600</v>
      </c>
      <c r="T154" s="14">
        <v>29535</v>
      </c>
    </row>
    <row r="155" spans="1:20" ht="18">
      <c r="A155" s="10" t="s">
        <v>20</v>
      </c>
      <c r="B155" s="11" t="s">
        <v>44</v>
      </c>
      <c r="C155" s="12">
        <v>45904</v>
      </c>
      <c r="D155" s="13">
        <v>1</v>
      </c>
      <c r="E155" s="14">
        <v>3037</v>
      </c>
      <c r="F155" s="15" t="s">
        <v>25</v>
      </c>
      <c r="G155" s="13">
        <v>150</v>
      </c>
      <c r="H155" s="13">
        <v>1</v>
      </c>
      <c r="I155" s="13">
        <v>0</v>
      </c>
      <c r="J155" s="13">
        <v>0</v>
      </c>
      <c r="K155" s="13">
        <v>0</v>
      </c>
      <c r="L155" s="13">
        <v>1</v>
      </c>
      <c r="M155" s="13">
        <v>0</v>
      </c>
      <c r="N155" s="14">
        <v>217.7</v>
      </c>
      <c r="O155" s="14">
        <v>238.7</v>
      </c>
      <c r="P155" s="40">
        <v>0.4591898148148148</v>
      </c>
      <c r="Q155" s="40">
        <v>0.46476851851851853</v>
      </c>
      <c r="R155" s="14">
        <v>3037</v>
      </c>
      <c r="S155" s="14">
        <v>1500</v>
      </c>
      <c r="T155" s="14">
        <v>32655</v>
      </c>
    </row>
    <row r="156" spans="1:20" ht="18">
      <c r="A156" s="10" t="s">
        <v>20</v>
      </c>
      <c r="B156" s="11" t="s">
        <v>44</v>
      </c>
      <c r="C156" s="12">
        <v>45904</v>
      </c>
      <c r="D156" s="13">
        <v>1</v>
      </c>
      <c r="E156" s="14">
        <v>710</v>
      </c>
      <c r="F156" s="15" t="s">
        <v>25</v>
      </c>
      <c r="G156" s="13">
        <v>150</v>
      </c>
      <c r="H156" s="13">
        <v>1</v>
      </c>
      <c r="I156" s="13">
        <v>0</v>
      </c>
      <c r="J156" s="13">
        <v>0</v>
      </c>
      <c r="K156" s="13">
        <v>0</v>
      </c>
      <c r="L156" s="13">
        <v>1</v>
      </c>
      <c r="M156" s="13">
        <v>0</v>
      </c>
      <c r="N156" s="14">
        <v>211.55</v>
      </c>
      <c r="O156" s="14">
        <v>217</v>
      </c>
      <c r="P156" s="40">
        <v>0.47415509259259259</v>
      </c>
      <c r="Q156" s="40">
        <v>0.47535879629629629</v>
      </c>
      <c r="R156" s="14">
        <v>710</v>
      </c>
      <c r="S156" s="14">
        <v>1500</v>
      </c>
      <c r="T156" s="14">
        <v>31732</v>
      </c>
    </row>
    <row r="157" spans="1:20" s="39" customFormat="1" ht="18">
      <c r="A157" s="27" t="s">
        <v>35</v>
      </c>
      <c r="B157" s="28" t="s">
        <v>44</v>
      </c>
      <c r="C157" s="29">
        <v>45904</v>
      </c>
      <c r="D157" s="30">
        <v>6</v>
      </c>
      <c r="E157" s="31">
        <f>SUM(E151:E156)</f>
        <v>6465</v>
      </c>
      <c r="F157" s="38" t="s">
        <v>25</v>
      </c>
      <c r="G157" s="30">
        <f>SUM(G151:G156)</f>
        <v>900</v>
      </c>
      <c r="H157" s="30">
        <v>4</v>
      </c>
      <c r="I157" s="30">
        <v>2</v>
      </c>
      <c r="J157" s="30">
        <v>1</v>
      </c>
      <c r="K157" s="30">
        <v>1</v>
      </c>
      <c r="L157" s="30">
        <v>3</v>
      </c>
      <c r="M157" s="30">
        <v>1</v>
      </c>
      <c r="N157" s="31" t="s">
        <v>36</v>
      </c>
      <c r="O157" s="31" t="s">
        <v>36</v>
      </c>
      <c r="P157" s="33" t="s">
        <v>36</v>
      </c>
      <c r="Q157" s="33" t="s">
        <v>36</v>
      </c>
      <c r="R157" s="31">
        <f>SUM(R151:R156)</f>
        <v>9658</v>
      </c>
      <c r="S157" s="31">
        <f>SUM(S151:S156)</f>
        <v>9193</v>
      </c>
      <c r="T157" s="31">
        <f>SUM(T151:T156)</f>
        <v>168651</v>
      </c>
    </row>
    <row r="158" spans="1:20" ht="18">
      <c r="A158" s="10" t="s">
        <v>20</v>
      </c>
      <c r="B158" s="11" t="s">
        <v>45</v>
      </c>
      <c r="C158" s="12">
        <v>45905</v>
      </c>
      <c r="D158" s="13">
        <v>1</v>
      </c>
      <c r="E158" s="14">
        <v>-1592</v>
      </c>
      <c r="F158" s="15" t="s">
        <v>25</v>
      </c>
      <c r="G158" s="13">
        <v>150</v>
      </c>
      <c r="H158" s="13">
        <v>0</v>
      </c>
      <c r="I158" s="13">
        <v>1</v>
      </c>
      <c r="J158" s="13">
        <v>0</v>
      </c>
      <c r="K158" s="13">
        <v>1</v>
      </c>
      <c r="L158" s="13">
        <v>0</v>
      </c>
      <c r="M158" s="13">
        <v>0</v>
      </c>
      <c r="N158" s="21">
        <v>169.15</v>
      </c>
      <c r="O158" s="22">
        <v>159.15</v>
      </c>
      <c r="P158" s="40">
        <v>0.38806712962962964</v>
      </c>
      <c r="Q158" s="40">
        <v>0.39126157407407408</v>
      </c>
      <c r="R158" s="14">
        <v>0</v>
      </c>
      <c r="S158" s="14">
        <v>1592</v>
      </c>
      <c r="T158" s="14">
        <v>25372</v>
      </c>
    </row>
    <row r="159" spans="1:20" ht="18">
      <c r="A159" s="10" t="s">
        <v>20</v>
      </c>
      <c r="B159" s="11" t="s">
        <v>45</v>
      </c>
      <c r="C159" s="12">
        <v>45905</v>
      </c>
      <c r="D159" s="13">
        <v>1</v>
      </c>
      <c r="E159" s="14">
        <v>-1615</v>
      </c>
      <c r="F159" s="15" t="s">
        <v>25</v>
      </c>
      <c r="G159" s="13">
        <v>150</v>
      </c>
      <c r="H159" s="13">
        <v>0</v>
      </c>
      <c r="I159" s="13">
        <v>1</v>
      </c>
      <c r="J159" s="13">
        <v>0</v>
      </c>
      <c r="K159" s="13">
        <v>0</v>
      </c>
      <c r="L159" s="13">
        <v>0</v>
      </c>
      <c r="M159" s="13">
        <v>1</v>
      </c>
      <c r="N159" s="21">
        <v>253.8</v>
      </c>
      <c r="O159" s="22">
        <v>243.8</v>
      </c>
      <c r="P159" s="40">
        <v>0.39158564814814817</v>
      </c>
      <c r="Q159" s="40">
        <v>0.39725694444444443</v>
      </c>
      <c r="R159" s="14">
        <v>0</v>
      </c>
      <c r="S159" s="14">
        <v>1615</v>
      </c>
      <c r="T159" s="14">
        <v>38070</v>
      </c>
    </row>
    <row r="160" spans="1:20" ht="18">
      <c r="A160" s="10" t="s">
        <v>20</v>
      </c>
      <c r="B160" s="11" t="s">
        <v>45</v>
      </c>
      <c r="C160" s="12">
        <v>45905</v>
      </c>
      <c r="D160" s="13">
        <v>1</v>
      </c>
      <c r="E160" s="14">
        <v>-1616</v>
      </c>
      <c r="F160" s="15" t="s">
        <v>25</v>
      </c>
      <c r="G160" s="13">
        <v>150</v>
      </c>
      <c r="H160" s="13">
        <v>0</v>
      </c>
      <c r="I160" s="13">
        <v>1</v>
      </c>
      <c r="J160" s="13">
        <v>0</v>
      </c>
      <c r="K160" s="13">
        <v>1</v>
      </c>
      <c r="L160" s="13">
        <v>0</v>
      </c>
      <c r="M160" s="13">
        <v>0</v>
      </c>
      <c r="N160" s="21">
        <v>256.95</v>
      </c>
      <c r="O160" s="22">
        <v>246.95</v>
      </c>
      <c r="P160" s="40">
        <v>0.39912037037037035</v>
      </c>
      <c r="Q160" s="40">
        <v>0.3997337962962963</v>
      </c>
      <c r="R160" s="14">
        <v>0</v>
      </c>
      <c r="S160" s="14">
        <v>1616</v>
      </c>
      <c r="T160" s="14">
        <v>38542</v>
      </c>
    </row>
    <row r="161" spans="1:20" ht="18">
      <c r="A161" s="10" t="s">
        <v>20</v>
      </c>
      <c r="B161" s="11" t="s">
        <v>45</v>
      </c>
      <c r="C161" s="12">
        <v>45905</v>
      </c>
      <c r="D161" s="13">
        <v>1</v>
      </c>
      <c r="E161" s="14">
        <v>-1617</v>
      </c>
      <c r="F161" s="15" t="s">
        <v>25</v>
      </c>
      <c r="G161" s="13">
        <v>150</v>
      </c>
      <c r="H161" s="13">
        <v>0</v>
      </c>
      <c r="I161" s="13">
        <v>1</v>
      </c>
      <c r="J161" s="13">
        <v>0</v>
      </c>
      <c r="K161" s="13">
        <v>0</v>
      </c>
      <c r="L161" s="13">
        <v>0</v>
      </c>
      <c r="M161" s="13">
        <v>1</v>
      </c>
      <c r="N161" s="21">
        <v>258.8</v>
      </c>
      <c r="O161" s="22">
        <v>248.8</v>
      </c>
      <c r="P161" s="40">
        <v>0.40056712962962965</v>
      </c>
      <c r="Q161" s="40">
        <v>0.40788194444444442</v>
      </c>
      <c r="R161" s="14">
        <v>0</v>
      </c>
      <c r="S161" s="14">
        <v>1617</v>
      </c>
      <c r="T161" s="14">
        <v>38820</v>
      </c>
    </row>
    <row r="162" spans="1:20" ht="18">
      <c r="A162" s="10" t="s">
        <v>20</v>
      </c>
      <c r="B162" s="11" t="s">
        <v>45</v>
      </c>
      <c r="C162" s="12">
        <v>45905</v>
      </c>
      <c r="D162" s="13">
        <v>1</v>
      </c>
      <c r="E162" s="14">
        <v>-2402</v>
      </c>
      <c r="F162" s="15" t="s">
        <v>25</v>
      </c>
      <c r="G162" s="13">
        <v>150</v>
      </c>
      <c r="H162" s="13">
        <v>0</v>
      </c>
      <c r="I162" s="13">
        <v>1</v>
      </c>
      <c r="J162" s="13">
        <v>0</v>
      </c>
      <c r="K162" s="13">
        <v>0</v>
      </c>
      <c r="L162" s="13">
        <v>0</v>
      </c>
      <c r="M162" s="13">
        <v>1</v>
      </c>
      <c r="N162" s="21">
        <v>258.85000000000002</v>
      </c>
      <c r="O162" s="22">
        <v>248.85</v>
      </c>
      <c r="P162" s="40">
        <v>0.40820601851851851</v>
      </c>
      <c r="Q162" s="40">
        <v>0.4110300925925926</v>
      </c>
      <c r="R162" s="14">
        <v>0</v>
      </c>
      <c r="S162" s="14">
        <v>2402</v>
      </c>
      <c r="T162" s="14">
        <v>58241</v>
      </c>
    </row>
    <row r="163" spans="1:20" ht="18">
      <c r="A163" s="10" t="s">
        <v>20</v>
      </c>
      <c r="B163" s="11" t="s">
        <v>45</v>
      </c>
      <c r="C163" s="12">
        <v>45905</v>
      </c>
      <c r="D163" s="13">
        <v>1</v>
      </c>
      <c r="E163" s="14">
        <v>13036</v>
      </c>
      <c r="F163" s="15" t="s">
        <v>25</v>
      </c>
      <c r="G163" s="13">
        <v>375</v>
      </c>
      <c r="H163" s="13">
        <v>1</v>
      </c>
      <c r="I163" s="13">
        <v>0</v>
      </c>
      <c r="J163" s="13">
        <v>0</v>
      </c>
      <c r="K163" s="13">
        <v>0</v>
      </c>
      <c r="L163" s="13">
        <v>1</v>
      </c>
      <c r="M163" s="13">
        <v>0</v>
      </c>
      <c r="N163" s="21">
        <v>247.9</v>
      </c>
      <c r="O163" s="22">
        <v>283.3</v>
      </c>
      <c r="P163" s="40">
        <v>0.41195601851851854</v>
      </c>
      <c r="Q163" s="40">
        <v>0.42299768518518521</v>
      </c>
      <c r="R163" s="14">
        <v>13036</v>
      </c>
      <c r="S163" s="14">
        <v>3750</v>
      </c>
      <c r="T163" s="14">
        <v>92962</v>
      </c>
    </row>
    <row r="164" spans="1:20" s="39" customFormat="1" ht="18">
      <c r="A164" s="27" t="s">
        <v>35</v>
      </c>
      <c r="B164" s="28" t="s">
        <v>45</v>
      </c>
      <c r="C164" s="29">
        <v>45905</v>
      </c>
      <c r="D164" s="30">
        <v>6</v>
      </c>
      <c r="E164" s="31">
        <f>SUM(E158:E163)</f>
        <v>4194</v>
      </c>
      <c r="F164" s="38" t="s">
        <v>25</v>
      </c>
      <c r="G164" s="30">
        <f>SUM(G158:G163)</f>
        <v>1125</v>
      </c>
      <c r="H164" s="30">
        <v>1</v>
      </c>
      <c r="I164" s="30">
        <v>5</v>
      </c>
      <c r="J164" s="30">
        <v>0</v>
      </c>
      <c r="K164" s="30">
        <v>2</v>
      </c>
      <c r="L164" s="30">
        <v>1</v>
      </c>
      <c r="M164" s="30">
        <v>3</v>
      </c>
      <c r="N164" s="31" t="s">
        <v>36</v>
      </c>
      <c r="O164" s="31" t="s">
        <v>36</v>
      </c>
      <c r="P164" s="33" t="s">
        <v>36</v>
      </c>
      <c r="Q164" s="33" t="s">
        <v>36</v>
      </c>
      <c r="R164" s="31">
        <v>13036</v>
      </c>
      <c r="S164" s="31">
        <f>SUM(S158:S163)</f>
        <v>12592</v>
      </c>
      <c r="T164" s="31">
        <f>SUM(T158:T163)</f>
        <v>292007</v>
      </c>
    </row>
    <row r="165" spans="1:20" ht="18.75">
      <c r="A165" s="41" t="s">
        <v>20</v>
      </c>
      <c r="B165" s="42" t="s">
        <v>21</v>
      </c>
      <c r="C165" s="43">
        <v>45908</v>
      </c>
      <c r="D165" s="44">
        <v>1</v>
      </c>
      <c r="E165" s="46">
        <v>-1599</v>
      </c>
      <c r="F165" s="48" t="s">
        <v>25</v>
      </c>
      <c r="G165" s="44">
        <v>150</v>
      </c>
      <c r="H165" s="44">
        <v>0</v>
      </c>
      <c r="I165" s="44">
        <v>1</v>
      </c>
      <c r="J165" s="44">
        <v>0</v>
      </c>
      <c r="K165" s="44">
        <v>0</v>
      </c>
      <c r="L165" s="44">
        <v>0</v>
      </c>
      <c r="M165" s="44">
        <v>1</v>
      </c>
      <c r="N165" s="50">
        <v>195</v>
      </c>
      <c r="O165" s="53">
        <v>185</v>
      </c>
      <c r="P165" s="56">
        <v>0.61759259259259258</v>
      </c>
      <c r="Q165" s="56">
        <v>0.61806712962962962</v>
      </c>
      <c r="R165" s="58">
        <v>0</v>
      </c>
      <c r="S165" s="46">
        <v>1599</v>
      </c>
      <c r="T165" s="58">
        <v>29250</v>
      </c>
    </row>
    <row r="166" spans="1:20" ht="18.75">
      <c r="A166" s="41" t="s">
        <v>20</v>
      </c>
      <c r="B166" s="42" t="s">
        <v>21</v>
      </c>
      <c r="C166" s="43">
        <v>45908</v>
      </c>
      <c r="D166" s="45">
        <v>1</v>
      </c>
      <c r="E166" s="47">
        <v>3897</v>
      </c>
      <c r="F166" s="49" t="s">
        <v>25</v>
      </c>
      <c r="G166" s="45">
        <v>150</v>
      </c>
      <c r="H166" s="45">
        <v>0</v>
      </c>
      <c r="I166" s="45">
        <v>1</v>
      </c>
      <c r="J166" s="45">
        <v>0</v>
      </c>
      <c r="K166" s="45">
        <v>0</v>
      </c>
      <c r="L166" s="45">
        <v>1</v>
      </c>
      <c r="M166" s="45">
        <v>0</v>
      </c>
      <c r="N166" s="51">
        <v>221.65</v>
      </c>
      <c r="O166" s="54">
        <v>248.4</v>
      </c>
      <c r="P166" s="57">
        <v>0.61836805555555552</v>
      </c>
      <c r="Q166" s="57">
        <v>0.62549768518518523</v>
      </c>
      <c r="R166" s="47">
        <v>3897</v>
      </c>
      <c r="S166" s="59">
        <v>1500</v>
      </c>
      <c r="T166" s="60">
        <v>33247</v>
      </c>
    </row>
    <row r="167" spans="1:20" ht="18.75">
      <c r="A167" s="61" t="s">
        <v>35</v>
      </c>
      <c r="B167" s="62" t="s">
        <v>21</v>
      </c>
      <c r="C167" s="63">
        <v>45908</v>
      </c>
      <c r="D167" s="64">
        <v>2</v>
      </c>
      <c r="E167" s="65">
        <v>2298</v>
      </c>
      <c r="F167" s="66" t="s">
        <v>25</v>
      </c>
      <c r="G167" s="64">
        <v>300</v>
      </c>
      <c r="H167" s="64">
        <v>1</v>
      </c>
      <c r="I167" s="64">
        <v>0</v>
      </c>
      <c r="J167" s="64">
        <v>0</v>
      </c>
      <c r="K167" s="64">
        <v>0</v>
      </c>
      <c r="L167" s="64">
        <v>1</v>
      </c>
      <c r="M167" s="64">
        <v>0</v>
      </c>
      <c r="N167" s="52" t="s">
        <v>36</v>
      </c>
      <c r="O167" s="55" t="s">
        <v>36</v>
      </c>
      <c r="P167" s="67" t="s">
        <v>36</v>
      </c>
      <c r="Q167" s="67" t="s">
        <v>36</v>
      </c>
      <c r="R167" s="65">
        <v>3897</v>
      </c>
      <c r="S167" s="68">
        <v>3099</v>
      </c>
      <c r="T167" s="69">
        <v>62497</v>
      </c>
    </row>
  </sheetData>
  <conditionalFormatting sqref="E2:E167">
    <cfRule type="cellIs" dxfId="39" priority="7" operator="lessThan">
      <formula>0</formula>
    </cfRule>
    <cfRule type="cellIs" dxfId="38" priority="8" operator="greaterThan">
      <formula>0</formula>
    </cfRule>
  </conditionalFormatting>
  <conditionalFormatting sqref="E11">
    <cfRule type="cellIs" dxfId="37" priority="5" operator="lessThan">
      <formula>0</formula>
    </cfRule>
  </conditionalFormatting>
  <conditionalFormatting sqref="F2:F167">
    <cfRule type="containsText" dxfId="36" priority="6" operator="containsText" text="NO">
      <formula>NOT(ISERROR(SEARCH("NO",F2)))</formula>
    </cfRule>
  </conditionalFormatting>
  <conditionalFormatting sqref="R2:R167">
    <cfRule type="cellIs" dxfId="35" priority="1" operator="greaterThan">
      <formula>0</formula>
    </cfRule>
  </conditionalFormatting>
  <conditionalFormatting sqref="R2:S167">
    <cfRule type="cellIs" dxfId="34" priority="9" operator="greaterThan">
      <formula>0</formula>
    </cfRule>
  </conditionalFormatting>
  <conditionalFormatting sqref="S1:S167 E2:E167">
    <cfRule type="cellIs" dxfId="33" priority="10" operator="lessThan">
      <formula>0</formula>
    </cfRule>
  </conditionalFormatting>
  <conditionalFormatting sqref="S1:S167">
    <cfRule type="cellIs" dxfId="32" priority="4" operator="greaterThan">
      <formula>0</formula>
    </cfRule>
  </conditionalFormatting>
  <conditionalFormatting sqref="S2:S167">
    <cfRule type="cellIs" dxfId="31" priority="2" operator="greaterThan">
      <formula>0</formula>
    </cfRule>
    <cfRule type="cellIs" dxfId="30" priority="3" operator="greaterThan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sunirmal karmakar</dc:creator>
  <cp:keywords/>
  <dc:description/>
  <cp:lastModifiedBy>sunirmal karmakar</cp:lastModifiedBy>
  <cp:revision/>
  <dcterms:created xsi:type="dcterms:W3CDTF">2025-09-09T22:08:56Z</dcterms:created>
  <dcterms:modified xsi:type="dcterms:W3CDTF">2025-09-09T22:33:54Z</dcterms:modified>
  <cp:category/>
  <cp:contentStatus/>
</cp:coreProperties>
</file>